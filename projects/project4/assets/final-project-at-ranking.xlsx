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" sheetId="1" r:id="rId5"/>
    <sheet state="visible" name="Form Responses 1" sheetId="2" r:id="rId6"/>
    <sheet state="visible" name="Latest_Submission" sheetId="3" r:id="rId7"/>
  </sheets>
  <definedNames/>
  <calcPr/>
</workbook>
</file>

<file path=xl/sharedStrings.xml><?xml version="1.0" encoding="utf-8"?>
<sst xmlns="http://schemas.openxmlformats.org/spreadsheetml/2006/main" count="234" uniqueCount="14">
  <si>
    <t>Rank</t>
  </si>
  <si>
    <t>Team</t>
  </si>
  <si>
    <t>Slice LUTs</t>
  </si>
  <si>
    <t>Slice Registers</t>
  </si>
  <si>
    <t xml:space="preserve">F7 Muxes </t>
  </si>
  <si>
    <t xml:space="preserve">F8 Muxes </t>
  </si>
  <si>
    <t xml:space="preserve">DSPs </t>
  </si>
  <si>
    <t xml:space="preserve">Processing Time in nanoseconds </t>
  </si>
  <si>
    <t>Operating Frequency (MHz)</t>
  </si>
  <si>
    <t>Area</t>
  </si>
  <si>
    <t>AT</t>
  </si>
  <si>
    <t>Timestamp</t>
  </si>
  <si>
    <t>Team? (refer to ee-class 小組專區)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</si>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</sst>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164" xfId="0" applyAlignment="1" applyFont="1" applyNumberFormat="1">
      <alignment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12525"/>
          <bgColor rgb="FFB12525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ran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atest_Submissio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00" displayName="Table2" name="Table2" id="1">
  <tableColumns count="12">
    <tableColumn name="Rank" id="1"/>
    <tableColumn name="Team" id="2"/>
    <tableColumn name="Slice LUTs" id="3"/>
    <tableColumn name="Slice Registers" id="4"/>
    <tableColumn name="F7 Muxes " id="5"/>
    <tableColumn name="F8 Muxes " id="6"/>
    <tableColumn name="DSPs " id="7"/>
    <tableColumn name="Processing Time in nanoseconds " id="8"/>
    <tableColumn name="Operating Frequency (MHz)" id="9"/>
    <tableColumn name="Area" id="10"/>
    <tableColumn name="AT" id="11"/>
    <tableColumn name="Timestamp" id="12"/>
  </tableColumns>
  <tableStyleInfo name="ranking-style" showColumnStripes="0" showFirstColumn="1" showLastColumn="1" showRowStripes="1"/>
</table>
</file>

<file path=xl/tables/table2.xml><?xml version="1.0" encoding="utf-8"?>
<table xmlns="http://schemas.openxmlformats.org/spreadsheetml/2006/main" ref="A1:K39" displayName="Form_Responses" name="Form_Responses" id="2">
  <tableColumns count="11">
    <tableColumn name="Timestamp" id="1"/>
    <tableColumn name="Team? (refer to ee-class 小組專區)" id="2"/>
    <tableColumn name="Slice LUTs" id="3"/>
    <tableColumn name="Slice Registers" id="4"/>
    <tableColumn name="F7 Muxes " id="5"/>
    <tableColumn name="F8 Muxes " id="6"/>
    <tableColumn name="DSPs " id="7"/>
    <tableColumn name="Processing Time in nanoseconds " id="8"/>
    <tableColumn name="Operating Frequency (MHz)" id="9"/>
    <tableColumn name="Area" id="10"/>
    <tableColumn name="AT" id="11"/>
  </tableColumns>
  <tableStyleInfo name="Form Responses 1-style" showColumnStripes="0" showFirstColumn="1" showLastColumn="1" showRowStripes="1"/>
</table>
</file>

<file path=xl/tables/table3.xml><?xml version="1.0" encoding="utf-8"?>
<table xmlns="http://schemas.openxmlformats.org/spreadsheetml/2006/main" ref="A1:K4" displayName="Table1" name="Table1" id="3">
  <tableColumns count="11">
    <tableColumn name="Timestamp" id="1"/>
    <tableColumn name="Team" id="2"/>
    <tableColumn name="Slice LUTs" id="3"/>
    <tableColumn name="Slice Registers" id="4"/>
    <tableColumn name="F7 Muxes " id="5"/>
    <tableColumn name="F8 Muxes " id="6"/>
    <tableColumn name="DSPs " id="7"/>
    <tableColumn name="Processing Time in nanoseconds " id="8"/>
    <tableColumn name="Operating Frequency (MHz)" id="9"/>
    <tableColumn name="Area" id="10"/>
    <tableColumn name="AT" id="11"/>
  </tableColumns>
  <tableStyleInfo name="Latest_Submis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63"/>
    <col customWidth="1" min="2" max="2" width="11.5"/>
    <col customWidth="1" min="3" max="3" width="19.63"/>
    <col customWidth="1" min="4" max="4" width="28.88"/>
    <col customWidth="1" min="5" max="5" width="21.63"/>
    <col customWidth="1" min="6" max="6" width="24.63"/>
    <col customWidth="1" min="7" max="7" width="23.0"/>
    <col customWidth="1" min="8" max="8" width="29.25"/>
    <col customWidth="1" min="9" max="9" width="32.25"/>
    <col customWidth="1" min="10" max="10" width="21.5"/>
    <col customWidth="1" min="11" max="11" width="23.63"/>
    <col customWidth="1" min="12" max="12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</row>
    <row r="2" ht="22.5" customHeight="1">
      <c r="A2" s="4">
        <f>IFERROR(__xludf.DUMMYFUNCTION("LET(
  data, FILTER(Latest_Submission!A2:K1000, Latest_Submission!B2:B1000&lt;&gt;""""),
  sorted, SORT(data, 11, TRUE),
  HSTACK(
    SEQUENCE(ROWS(sorted)),
    CHOOSECOLS(sorted, 2, 3, 4, 5, 6, 7, 8, 9, 10, 11, 1)
  )
)"),1.0)</f>
        <v>1</v>
      </c>
      <c r="B2" s="4">
        <f>IFERROR(__xludf.DUMMYFUNCTION("""COMPUTED_VALUE"""),3.0)</f>
        <v>3</v>
      </c>
      <c r="C2" s="5">
        <f>IFERROR(__xludf.DUMMYFUNCTION("""COMPUTED_VALUE"""),2036.0)</f>
        <v>2036</v>
      </c>
      <c r="D2" s="4">
        <f>IFERROR(__xludf.DUMMYFUNCTION("""COMPUTED_VALUE"""),1528.0)</f>
        <v>1528</v>
      </c>
      <c r="E2" s="4">
        <f>IFERROR(__xludf.DUMMYFUNCTION("""COMPUTED_VALUE"""),0.0)</f>
        <v>0</v>
      </c>
      <c r="F2" s="4">
        <f>IFERROR(__xludf.DUMMYFUNCTION("""COMPUTED_VALUE"""),0.0)</f>
        <v>0</v>
      </c>
      <c r="G2" s="4">
        <f>IFERROR(__xludf.DUMMYFUNCTION("""COMPUTED_VALUE"""),1.0)</f>
        <v>1</v>
      </c>
      <c r="H2" s="4">
        <f>IFERROR(__xludf.DUMMYFUNCTION("""COMPUTED_VALUE"""),450186.0)</f>
        <v>450186</v>
      </c>
      <c r="I2" s="4">
        <f>IFERROR(__xludf.DUMMYFUNCTION("""COMPUTED_VALUE"""),100.0)</f>
        <v>100</v>
      </c>
      <c r="J2" s="4">
        <f>IFERROR(__xludf.DUMMYFUNCTION("""COMPUTED_VALUE"""),3844.0)</f>
        <v>3844</v>
      </c>
      <c r="K2" s="6">
        <f>IFERROR(__xludf.DUMMYFUNCTION("""COMPUTED_VALUE"""),549638.184)</f>
        <v>549638.184</v>
      </c>
      <c r="L2" s="7">
        <f>IFERROR(__xludf.DUMMYFUNCTION("""COMPUTED_VALUE"""),46177.65659006944)</f>
        <v>46177.65659</v>
      </c>
    </row>
    <row r="3" ht="22.5" customHeight="1">
      <c r="A3" s="5">
        <f>IFERROR(__xludf.DUMMYFUNCTION("""COMPUTED_VALUE"""),2.0)</f>
        <v>2</v>
      </c>
      <c r="B3" s="5">
        <f>IFERROR(__xludf.DUMMYFUNCTION("""COMPUTED_VALUE"""),4.0)</f>
        <v>4</v>
      </c>
      <c r="C3" s="5">
        <f>IFERROR(__xludf.DUMMYFUNCTION("""COMPUTED_VALUE"""),2397.0)</f>
        <v>2397</v>
      </c>
      <c r="D3" s="5">
        <f>IFERROR(__xludf.DUMMYFUNCTION("""COMPUTED_VALUE"""),1299.0)</f>
        <v>1299</v>
      </c>
      <c r="E3" s="5">
        <f>IFERROR(__xludf.DUMMYFUNCTION("""COMPUTED_VALUE"""),55.0)</f>
        <v>55</v>
      </c>
      <c r="F3" s="5">
        <f>IFERROR(__xludf.DUMMYFUNCTION("""COMPUTED_VALUE"""),26.0)</f>
        <v>26</v>
      </c>
      <c r="G3" s="5">
        <f>IFERROR(__xludf.DUMMYFUNCTION("""COMPUTED_VALUE"""),1.0)</f>
        <v>1</v>
      </c>
      <c r="H3" s="5">
        <f>IFERROR(__xludf.DUMMYFUNCTION("""COMPUTED_VALUE"""),570058.602)</f>
        <v>570058.602</v>
      </c>
      <c r="I3" s="5">
        <f>IFERROR(__xludf.DUMMYFUNCTION("""COMPUTED_VALUE"""),120.0)</f>
        <v>120</v>
      </c>
      <c r="J3" s="5">
        <f>IFERROR(__xludf.DUMMYFUNCTION("""COMPUTED_VALUE"""),4057.0)</f>
        <v>4057</v>
      </c>
      <c r="K3" s="8">
        <f>IFERROR(__xludf.DUMMYFUNCTION("""COMPUTED_VALUE"""),1274135.7483139997)</f>
        <v>1274135.748</v>
      </c>
      <c r="L3" s="7">
        <f>IFERROR(__xludf.DUMMYFUNCTION("""COMPUTED_VALUE"""),46177.72154894676)</f>
        <v>46177.72155</v>
      </c>
    </row>
    <row r="4" ht="22.5" customHeight="1">
      <c r="A4" s="5">
        <f>IFERROR(__xludf.DUMMYFUNCTION("""COMPUTED_VALUE"""),3.0)</f>
        <v>3</v>
      </c>
      <c r="B4" s="5">
        <f>IFERROR(__xludf.DUMMYFUNCTION("""COMPUTED_VALUE"""),6.0)</f>
        <v>6</v>
      </c>
      <c r="C4" s="5">
        <f>IFERROR(__xludf.DUMMYFUNCTION("""COMPUTED_VALUE"""),4511.0)</f>
        <v>4511</v>
      </c>
      <c r="D4" s="5">
        <f>IFERROR(__xludf.DUMMYFUNCTION("""COMPUTED_VALUE"""),3665.0)</f>
        <v>3665</v>
      </c>
      <c r="E4" s="5">
        <f>IFERROR(__xludf.DUMMYFUNCTION("""COMPUTED_VALUE"""),689.0)</f>
        <v>689</v>
      </c>
      <c r="F4" s="5">
        <f>IFERROR(__xludf.DUMMYFUNCTION("""COMPUTED_VALUE"""),146.0)</f>
        <v>146</v>
      </c>
      <c r="G4" s="5">
        <f>IFERROR(__xludf.DUMMYFUNCTION("""COMPUTED_VALUE"""),1.0)</f>
        <v>1</v>
      </c>
      <c r="H4" s="5">
        <f>IFERROR(__xludf.DUMMYFUNCTION("""COMPUTED_VALUE"""),454341.909)</f>
        <v>454341.909</v>
      </c>
      <c r="I4" s="5">
        <f>IFERROR(__xludf.DUMMYFUNCTION("""COMPUTED_VALUE"""),100.0)</f>
        <v>100</v>
      </c>
      <c r="J4" s="5">
        <f>IFERROR(__xludf.DUMMYFUNCTION("""COMPUTED_VALUE"""),9291.0)</f>
        <v>9291</v>
      </c>
      <c r="K4" s="8">
        <f>IFERROR(__xludf.DUMMYFUNCTION("""COMPUTED_VALUE"""),1367095.476519)</f>
        <v>1367095.477</v>
      </c>
      <c r="L4" s="7">
        <f>IFERROR(__xludf.DUMMYFUNCTION("""COMPUTED_VALUE"""),46177.562045300925)</f>
        <v>46177.56205</v>
      </c>
    </row>
    <row r="5" ht="22.5" customHeight="1">
      <c r="A5" s="5">
        <f>IFERROR(__xludf.DUMMYFUNCTION("""COMPUTED_VALUE"""),4.0)</f>
        <v>4</v>
      </c>
      <c r="B5" s="5">
        <f>IFERROR(__xludf.DUMMYFUNCTION("""COMPUTED_VALUE"""),19.0)</f>
        <v>19</v>
      </c>
      <c r="C5" s="9">
        <f>IFERROR(__xludf.DUMMYFUNCTION("""COMPUTED_VALUE"""),4566.0)</f>
        <v>4566</v>
      </c>
      <c r="D5" s="9">
        <f>IFERROR(__xludf.DUMMYFUNCTION("""COMPUTED_VALUE"""),2358.0)</f>
        <v>2358</v>
      </c>
      <c r="E5" s="9">
        <f>IFERROR(__xludf.DUMMYFUNCTION("""COMPUTED_VALUE"""),155.0)</f>
        <v>155</v>
      </c>
      <c r="F5" s="5">
        <f>IFERROR(__xludf.DUMMYFUNCTION("""COMPUTED_VALUE"""),2.0)</f>
        <v>2</v>
      </c>
      <c r="G5" s="5">
        <f>IFERROR(__xludf.DUMMYFUNCTION("""COMPUTED_VALUE"""),1.0)</f>
        <v>1</v>
      </c>
      <c r="H5" s="5">
        <f>IFERROR(__xludf.DUMMYFUNCTION("""COMPUTED_VALUE"""),506358.0)</f>
        <v>506358</v>
      </c>
      <c r="I5" s="5">
        <f>IFERROR(__xludf.DUMMYFUNCTION("""COMPUTED_VALUE"""),100.0)</f>
        <v>100</v>
      </c>
      <c r="J5" s="5">
        <f>IFERROR(__xludf.DUMMYFUNCTION("""COMPUTED_VALUE"""),7361.0)</f>
        <v>7361</v>
      </c>
      <c r="K5" s="8">
        <f>IFERROR(__xludf.DUMMYFUNCTION("""COMPUTED_VALUE"""),1466002.0380000002)</f>
        <v>1466002.038</v>
      </c>
      <c r="L5" s="7">
        <f>IFERROR(__xludf.DUMMYFUNCTION("""COMPUTED_VALUE"""),46177.05778828704)</f>
        <v>46177.05779</v>
      </c>
    </row>
    <row r="6" ht="22.5" customHeight="1">
      <c r="A6" s="5">
        <f>IFERROR(__xludf.DUMMYFUNCTION("""COMPUTED_VALUE"""),5.0)</f>
        <v>5</v>
      </c>
      <c r="B6" s="5">
        <f>IFERROR(__xludf.DUMMYFUNCTION("""COMPUTED_VALUE"""),10.0)</f>
        <v>10</v>
      </c>
      <c r="C6" s="5">
        <f>IFERROR(__xludf.DUMMYFUNCTION("""COMPUTED_VALUE"""),1883.0)</f>
        <v>1883</v>
      </c>
      <c r="D6" s="5">
        <f>IFERROR(__xludf.DUMMYFUNCTION("""COMPUTED_VALUE"""),1514.0)</f>
        <v>1514</v>
      </c>
      <c r="E6" s="5">
        <f>IFERROR(__xludf.DUMMYFUNCTION("""COMPUTED_VALUE"""),92.0)</f>
        <v>92</v>
      </c>
      <c r="F6" s="5">
        <f>IFERROR(__xludf.DUMMYFUNCTION("""COMPUTED_VALUE"""),1.0)</f>
        <v>1</v>
      </c>
      <c r="G6" s="5">
        <f>IFERROR(__xludf.DUMMYFUNCTION("""COMPUTED_VALUE"""),0.0)</f>
        <v>0</v>
      </c>
      <c r="H6" s="5">
        <f>IFERROR(__xludf.DUMMYFUNCTION("""COMPUTED_VALUE"""),725861.0)</f>
        <v>725861</v>
      </c>
      <c r="I6" s="5">
        <f>IFERROR(__xludf.DUMMYFUNCTION("""COMPUTED_VALUE"""),118.0)</f>
        <v>118</v>
      </c>
      <c r="J6" s="5">
        <f>IFERROR(__xludf.DUMMYFUNCTION("""COMPUTED_VALUE"""),3490.0)</f>
        <v>3490</v>
      </c>
      <c r="K6" s="8">
        <f>IFERROR(__xludf.DUMMYFUNCTION("""COMPUTED_VALUE"""),1624671.8391525424)</f>
        <v>1624671.839</v>
      </c>
      <c r="L6" s="7">
        <f>IFERROR(__xludf.DUMMYFUNCTION("""COMPUTED_VALUE"""),46177.670615763884)</f>
        <v>46177.67062</v>
      </c>
    </row>
    <row r="7" ht="22.5" customHeight="1">
      <c r="A7" s="5">
        <f>IFERROR(__xludf.DUMMYFUNCTION("""COMPUTED_VALUE"""),6.0)</f>
        <v>6</v>
      </c>
      <c r="B7" s="5">
        <f>IFERROR(__xludf.DUMMYFUNCTION("""COMPUTED_VALUE"""),24.0)</f>
        <v>24</v>
      </c>
      <c r="C7" s="9">
        <f>IFERROR(__xludf.DUMMYFUNCTION("""COMPUTED_VALUE"""),3555.0)</f>
        <v>3555</v>
      </c>
      <c r="D7" s="9">
        <f>IFERROR(__xludf.DUMMYFUNCTION("""COMPUTED_VALUE"""),2828.0)</f>
        <v>2828</v>
      </c>
      <c r="E7" s="5">
        <f>IFERROR(__xludf.DUMMYFUNCTION("""COMPUTED_VALUE"""),535.0)</f>
        <v>535</v>
      </c>
      <c r="F7" s="5">
        <f>IFERROR(__xludf.DUMMYFUNCTION("""COMPUTED_VALUE"""),2.0)</f>
        <v>2</v>
      </c>
      <c r="G7" s="5">
        <f>IFERROR(__xludf.DUMMYFUNCTION("""COMPUTED_VALUE"""),1.0)</f>
        <v>1</v>
      </c>
      <c r="H7" s="5">
        <f>IFERROR(__xludf.DUMMYFUNCTION("""COMPUTED_VALUE"""),562022.379)</f>
        <v>562022.379</v>
      </c>
      <c r="I7" s="5">
        <f>IFERROR(__xludf.DUMMYFUNCTION("""COMPUTED_VALUE"""),100.0)</f>
        <v>100</v>
      </c>
      <c r="J7" s="5">
        <f>IFERROR(__xludf.DUMMYFUNCTION("""COMPUTED_VALUE"""),7200.0)</f>
        <v>7200</v>
      </c>
      <c r="K7" s="8">
        <f>IFERROR(__xludf.DUMMYFUNCTION("""COMPUTED_VALUE"""),1834721.1288)</f>
        <v>1834721.129</v>
      </c>
      <c r="L7" s="7">
        <f>IFERROR(__xludf.DUMMYFUNCTION("""COMPUTED_VALUE"""),46177.6305028125)</f>
        <v>46177.6305</v>
      </c>
    </row>
    <row r="8" ht="22.5" customHeight="1">
      <c r="A8" s="5">
        <f>IFERROR(__xludf.DUMMYFUNCTION("""COMPUTED_VALUE"""),7.0)</f>
        <v>7</v>
      </c>
      <c r="B8" s="5">
        <f>IFERROR(__xludf.DUMMYFUNCTION("""COMPUTED_VALUE"""),14.0)</f>
        <v>14</v>
      </c>
      <c r="C8" s="5">
        <f>IFERROR(__xludf.DUMMYFUNCTION("""COMPUTED_VALUE"""),3447.0)</f>
        <v>3447</v>
      </c>
      <c r="D8" s="5">
        <f>IFERROR(__xludf.DUMMYFUNCTION("""COMPUTED_VALUE"""),2947.0)</f>
        <v>2947</v>
      </c>
      <c r="E8" s="5">
        <f>IFERROR(__xludf.DUMMYFUNCTION("""COMPUTED_VALUE"""),666.0)</f>
        <v>666</v>
      </c>
      <c r="F8" s="5">
        <f>IFERROR(__xludf.DUMMYFUNCTION("""COMPUTED_VALUE"""),322.0)</f>
        <v>322</v>
      </c>
      <c r="G8" s="5">
        <f>IFERROR(__xludf.DUMMYFUNCTION("""COMPUTED_VALUE"""),1.0)</f>
        <v>1</v>
      </c>
      <c r="H8" s="5">
        <f>IFERROR(__xludf.DUMMYFUNCTION("""COMPUTED_VALUE"""),651275.0)</f>
        <v>651275</v>
      </c>
      <c r="I8" s="5">
        <f>IFERROR(__xludf.DUMMYFUNCTION("""COMPUTED_VALUE"""),85.0)</f>
        <v>85</v>
      </c>
      <c r="J8" s="5">
        <f>IFERROR(__xludf.DUMMYFUNCTION("""COMPUTED_VALUE"""),7662.0)</f>
        <v>7662</v>
      </c>
      <c r="K8" s="10">
        <f>IFERROR(__xludf.DUMMYFUNCTION("""COMPUTED_VALUE"""),2220932.108823529)</f>
        <v>2220932.109</v>
      </c>
      <c r="L8" s="7">
        <f>IFERROR(__xludf.DUMMYFUNCTION("""COMPUTED_VALUE"""),46176.93308969907)</f>
        <v>46176.93309</v>
      </c>
    </row>
    <row r="9" ht="22.5" customHeight="1">
      <c r="A9" s="5">
        <f>IFERROR(__xludf.DUMMYFUNCTION("""COMPUTED_VALUE"""),8.0)</f>
        <v>8</v>
      </c>
      <c r="B9" s="5">
        <f>IFERROR(__xludf.DUMMYFUNCTION("""COMPUTED_VALUE"""),13.0)</f>
        <v>13</v>
      </c>
      <c r="C9" s="5">
        <f>IFERROR(__xludf.DUMMYFUNCTION("""COMPUTED_VALUE"""),1397.0)</f>
        <v>1397</v>
      </c>
      <c r="D9" s="5">
        <f>IFERROR(__xludf.DUMMYFUNCTION("""COMPUTED_VALUE"""),737.0)</f>
        <v>737</v>
      </c>
      <c r="E9" s="9">
        <f>IFERROR(__xludf.DUMMYFUNCTION("""COMPUTED_VALUE"""),5.0)</f>
        <v>5</v>
      </c>
      <c r="F9" s="5">
        <f>IFERROR(__xludf.DUMMYFUNCTION("""COMPUTED_VALUE"""),2.0)</f>
        <v>2</v>
      </c>
      <c r="G9" s="5">
        <f>IFERROR(__xludf.DUMMYFUNCTION("""COMPUTED_VALUE"""),1.0)</f>
        <v>1</v>
      </c>
      <c r="H9" s="5">
        <f>IFERROR(__xludf.DUMMYFUNCTION("""COMPUTED_VALUE"""),1513542.47)</f>
        <v>1513542.47</v>
      </c>
      <c r="I9" s="5">
        <f>IFERROR(__xludf.DUMMYFUNCTION("""COMPUTED_VALUE"""),100.0)</f>
        <v>100</v>
      </c>
      <c r="J9" s="5">
        <f>IFERROR(__xludf.DUMMYFUNCTION("""COMPUTED_VALUE"""),2421.0)</f>
        <v>2421</v>
      </c>
      <c r="K9" s="8">
        <f>IFERROR(__xludf.DUMMYFUNCTION("""COMPUTED_VALUE"""),2920555.1198699996)</f>
        <v>2920555.12</v>
      </c>
      <c r="L9" s="7">
        <f>IFERROR(__xludf.DUMMYFUNCTION("""COMPUTED_VALUE"""),46177.07146771991)</f>
        <v>46177.07147</v>
      </c>
    </row>
    <row r="10" ht="22.5" customHeight="1">
      <c r="A10" s="5">
        <f>IFERROR(__xludf.DUMMYFUNCTION("""COMPUTED_VALUE"""),9.0)</f>
        <v>9</v>
      </c>
      <c r="B10" s="5">
        <f>IFERROR(__xludf.DUMMYFUNCTION("""COMPUTED_VALUE"""),8.0)</f>
        <v>8</v>
      </c>
      <c r="C10" s="5">
        <f>IFERROR(__xludf.DUMMYFUNCTION("""COMPUTED_VALUE"""),3855.0)</f>
        <v>3855</v>
      </c>
      <c r="D10" s="5">
        <f>IFERROR(__xludf.DUMMYFUNCTION("""COMPUTED_VALUE"""),3055.0)</f>
        <v>3055</v>
      </c>
      <c r="E10" s="5">
        <f>IFERROR(__xludf.DUMMYFUNCTION("""COMPUTED_VALUE"""),219.0)</f>
        <v>219</v>
      </c>
      <c r="F10" s="9">
        <f>IFERROR(__xludf.DUMMYFUNCTION("""COMPUTED_VALUE"""),109.0)</f>
        <v>109</v>
      </c>
      <c r="G10" s="5">
        <f>IFERROR(__xludf.DUMMYFUNCTION("""COMPUTED_VALUE"""),1.0)</f>
        <v>1</v>
      </c>
      <c r="H10" s="5">
        <f>IFERROR(__xludf.DUMMYFUNCTION("""COMPUTED_VALUE"""),814946.402)</f>
        <v>814946.402</v>
      </c>
      <c r="I10" s="5">
        <f>IFERROR(__xludf.DUMMYFUNCTION("""COMPUTED_VALUE"""),100.0)</f>
        <v>100</v>
      </c>
      <c r="J10" s="5">
        <f>IFERROR(__xludf.DUMMYFUNCTION("""COMPUTED_VALUE"""),7518.0)</f>
        <v>7518</v>
      </c>
      <c r="K10" s="8">
        <f>IFERROR(__xludf.DUMMYFUNCTION("""COMPUTED_VALUE"""),3817237.450236)</f>
        <v>3817237.45</v>
      </c>
      <c r="L10" s="7">
        <f>IFERROR(__xludf.DUMMYFUNCTION("""COMPUTED_VALUE"""),46177.58881422454)</f>
        <v>46177.58881</v>
      </c>
    </row>
    <row r="11" ht="22.5" customHeight="1">
      <c r="A11" s="5">
        <f>IFERROR(__xludf.DUMMYFUNCTION("""COMPUTED_VALUE"""),10.0)</f>
        <v>10</v>
      </c>
      <c r="B11" s="5">
        <f>IFERROR(__xludf.DUMMYFUNCTION("""COMPUTED_VALUE"""),22.0)</f>
        <v>22</v>
      </c>
      <c r="C11" s="5">
        <f>IFERROR(__xludf.DUMMYFUNCTION("""COMPUTED_VALUE"""),1872.0)</f>
        <v>1872</v>
      </c>
      <c r="D11" s="5">
        <f>IFERROR(__xludf.DUMMYFUNCTION("""COMPUTED_VALUE"""),1735.0)</f>
        <v>1735</v>
      </c>
      <c r="E11" s="5">
        <f>IFERROR(__xludf.DUMMYFUNCTION("""COMPUTED_VALUE"""),262.0)</f>
        <v>262</v>
      </c>
      <c r="F11" s="5">
        <f>IFERROR(__xludf.DUMMYFUNCTION("""COMPUTED_VALUE"""),4.0)</f>
        <v>4</v>
      </c>
      <c r="G11" s="5">
        <f>IFERROR(__xludf.DUMMYFUNCTION("""COMPUTED_VALUE"""),1.0)</f>
        <v>1</v>
      </c>
      <c r="H11" s="5">
        <f>IFERROR(__xludf.DUMMYFUNCTION("""COMPUTED_VALUE"""),1257000.0)</f>
        <v>1257000</v>
      </c>
      <c r="I11" s="5">
        <f>IFERROR(__xludf.DUMMYFUNCTION("""COMPUTED_VALUE"""),100.0)</f>
        <v>100</v>
      </c>
      <c r="J11" s="5">
        <f>IFERROR(__xludf.DUMMYFUNCTION("""COMPUTED_VALUE"""),4153.0)</f>
        <v>4153</v>
      </c>
      <c r="K11" s="8">
        <f>IFERROR(__xludf.DUMMYFUNCTION("""COMPUTED_VALUE"""),3944519.4)</f>
        <v>3944519.4</v>
      </c>
      <c r="L11" s="7">
        <f>IFERROR(__xludf.DUMMYFUNCTION("""COMPUTED_VALUE"""),46177.73138614584)</f>
        <v>46177.73139</v>
      </c>
    </row>
    <row r="12" ht="22.5" customHeight="1">
      <c r="A12" s="5">
        <f>IFERROR(__xludf.DUMMYFUNCTION("""COMPUTED_VALUE"""),11.0)</f>
        <v>11</v>
      </c>
      <c r="B12" s="5">
        <f>IFERROR(__xludf.DUMMYFUNCTION("""COMPUTED_VALUE"""),9.0)</f>
        <v>9</v>
      </c>
      <c r="C12" s="5">
        <f>IFERROR(__xludf.DUMMYFUNCTION("""COMPUTED_VALUE"""),3869.0)</f>
        <v>3869</v>
      </c>
      <c r="D12" s="5">
        <f>IFERROR(__xludf.DUMMYFUNCTION("""COMPUTED_VALUE"""),2763.0)</f>
        <v>2763</v>
      </c>
      <c r="E12" s="5">
        <f>IFERROR(__xludf.DUMMYFUNCTION("""COMPUTED_VALUE"""),360.0)</f>
        <v>360</v>
      </c>
      <c r="F12" s="5">
        <f>IFERROR(__xludf.DUMMYFUNCTION("""COMPUTED_VALUE"""),1.0)</f>
        <v>1</v>
      </c>
      <c r="G12" s="5">
        <f>IFERROR(__xludf.DUMMYFUNCTION("""COMPUTED_VALUE"""),1.0)</f>
        <v>1</v>
      </c>
      <c r="H12" s="5">
        <f>IFERROR(__xludf.DUMMYFUNCTION("""COMPUTED_VALUE"""),927658.0)</f>
        <v>927658</v>
      </c>
      <c r="I12" s="5">
        <f>IFERROR(__xludf.DUMMYFUNCTION("""COMPUTED_VALUE"""),100.0)</f>
        <v>100</v>
      </c>
      <c r="J12" s="5">
        <f>IFERROR(__xludf.DUMMYFUNCTION("""COMPUTED_VALUE"""),7273.0)</f>
        <v>7273</v>
      </c>
      <c r="K12" s="8">
        <f>IFERROR(__xludf.DUMMYFUNCTION("""COMPUTED_VALUE"""),4512591.034000001)</f>
        <v>4512591.034</v>
      </c>
      <c r="L12" s="7">
        <f>IFERROR(__xludf.DUMMYFUNCTION("""COMPUTED_VALUE"""),46176.972165300926)</f>
        <v>46176.97217</v>
      </c>
    </row>
    <row r="13" ht="22.5" customHeight="1">
      <c r="A13" s="5">
        <f>IFERROR(__xludf.DUMMYFUNCTION("""COMPUTED_VALUE"""),12.0)</f>
        <v>12</v>
      </c>
      <c r="B13" s="5">
        <f>IFERROR(__xludf.DUMMYFUNCTION("""COMPUTED_VALUE"""),26.0)</f>
        <v>26</v>
      </c>
      <c r="C13" s="5">
        <f>IFERROR(__xludf.DUMMYFUNCTION("""COMPUTED_VALUE"""),2192.0)</f>
        <v>2192</v>
      </c>
      <c r="D13" s="5">
        <f>IFERROR(__xludf.DUMMYFUNCTION("""COMPUTED_VALUE"""),1874.0)</f>
        <v>1874</v>
      </c>
      <c r="E13" s="5">
        <f>IFERROR(__xludf.DUMMYFUNCTION("""COMPUTED_VALUE"""),240.0)</f>
        <v>240</v>
      </c>
      <c r="F13" s="5">
        <f>IFERROR(__xludf.DUMMYFUNCTION("""COMPUTED_VALUE"""),10.0)</f>
        <v>10</v>
      </c>
      <c r="G13" s="5">
        <f>IFERROR(__xludf.DUMMYFUNCTION("""COMPUTED_VALUE"""),1.0)</f>
        <v>1</v>
      </c>
      <c r="H13" s="5">
        <f>IFERROR(__xludf.DUMMYFUNCTION("""COMPUTED_VALUE"""),1321783.874)</f>
        <v>1321783.874</v>
      </c>
      <c r="I13" s="5">
        <f>IFERROR(__xludf.DUMMYFUNCTION("""COMPUTED_VALUE"""),100.0)</f>
        <v>100</v>
      </c>
      <c r="J13" s="5">
        <f>IFERROR(__xludf.DUMMYFUNCTION("""COMPUTED_VALUE"""),4596.0)</f>
        <v>4596</v>
      </c>
      <c r="K13" s="8">
        <f>IFERROR(__xludf.DUMMYFUNCTION("""COMPUTED_VALUE"""),4663027.484904)</f>
        <v>4663027.485</v>
      </c>
      <c r="L13" s="7">
        <f>IFERROR(__xludf.DUMMYFUNCTION("""COMPUTED_VALUE"""),46177.55231403935)</f>
        <v>46177.55231</v>
      </c>
    </row>
    <row r="14" ht="22.5" customHeight="1">
      <c r="A14" s="5">
        <f>IFERROR(__xludf.DUMMYFUNCTION("""COMPUTED_VALUE"""),13.0)</f>
        <v>13</v>
      </c>
      <c r="B14" s="5">
        <f>IFERROR(__xludf.DUMMYFUNCTION("""COMPUTED_VALUE"""),20.0)</f>
        <v>20</v>
      </c>
      <c r="C14" s="5">
        <f>IFERROR(__xludf.DUMMYFUNCTION("""COMPUTED_VALUE"""),2135.0)</f>
        <v>2135</v>
      </c>
      <c r="D14" s="5">
        <f>IFERROR(__xludf.DUMMYFUNCTION("""COMPUTED_VALUE"""),2031.0)</f>
        <v>2031</v>
      </c>
      <c r="E14" s="5">
        <f>IFERROR(__xludf.DUMMYFUNCTION("""COMPUTED_VALUE"""),61.0)</f>
        <v>61</v>
      </c>
      <c r="F14" s="5">
        <f>IFERROR(__xludf.DUMMYFUNCTION("""COMPUTED_VALUE"""),22.0)</f>
        <v>22</v>
      </c>
      <c r="G14" s="5">
        <f>IFERROR(__xludf.DUMMYFUNCTION("""COMPUTED_VALUE"""),1.0)</f>
        <v>1</v>
      </c>
      <c r="H14" s="5">
        <f>IFERROR(__xludf.DUMMYFUNCTION("""COMPUTED_VALUE"""),1384180.0)</f>
        <v>1384180</v>
      </c>
      <c r="I14" s="5">
        <f>IFERROR(__xludf.DUMMYFUNCTION("""COMPUTED_VALUE"""),100.0)</f>
        <v>100</v>
      </c>
      <c r="J14" s="5">
        <f>IFERROR(__xludf.DUMMYFUNCTION("""COMPUTED_VALUE"""),4529.0)</f>
        <v>4529</v>
      </c>
      <c r="K14" s="8">
        <f>IFERROR(__xludf.DUMMYFUNCTION("""COMPUTED_VALUE"""),4877642.42)</f>
        <v>4877642.42</v>
      </c>
      <c r="L14" s="7">
        <f>IFERROR(__xludf.DUMMYFUNCTION("""COMPUTED_VALUE"""),46177.069847418985)</f>
        <v>46177.06985</v>
      </c>
    </row>
    <row r="15" ht="22.5" customHeight="1">
      <c r="A15" s="5">
        <f>IFERROR(__xludf.DUMMYFUNCTION("""COMPUTED_VALUE"""),14.0)</f>
        <v>14</v>
      </c>
      <c r="B15" s="5">
        <f>IFERROR(__xludf.DUMMYFUNCTION("""COMPUTED_VALUE"""),1.0)</f>
        <v>1</v>
      </c>
      <c r="C15" s="5">
        <f>IFERROR(__xludf.DUMMYFUNCTION("""COMPUTED_VALUE"""),2516.0)</f>
        <v>2516</v>
      </c>
      <c r="D15" s="5">
        <f>IFERROR(__xludf.DUMMYFUNCTION("""COMPUTED_VALUE"""),1877.0)</f>
        <v>1877</v>
      </c>
      <c r="E15" s="5">
        <f>IFERROR(__xludf.DUMMYFUNCTION("""COMPUTED_VALUE"""),179.0)</f>
        <v>179</v>
      </c>
      <c r="F15" s="5">
        <f>IFERROR(__xludf.DUMMYFUNCTION("""COMPUTED_VALUE"""),12.0)</f>
        <v>12</v>
      </c>
      <c r="G15" s="5">
        <f>IFERROR(__xludf.DUMMYFUNCTION("""COMPUTED_VALUE"""),1.0)</f>
        <v>1</v>
      </c>
      <c r="H15" s="5">
        <f>IFERROR(__xludf.DUMMYFUNCTION("""COMPUTED_VALUE"""),1340052.0)</f>
        <v>1340052</v>
      </c>
      <c r="I15" s="5">
        <f>IFERROR(__xludf.DUMMYFUNCTION("""COMPUTED_VALUE"""),100.0)</f>
        <v>100</v>
      </c>
      <c r="J15" s="5">
        <f>IFERROR(__xludf.DUMMYFUNCTION("""COMPUTED_VALUE"""),4864.0)</f>
        <v>4864</v>
      </c>
      <c r="K15" s="8">
        <f>IFERROR(__xludf.DUMMYFUNCTION("""COMPUTED_VALUE"""),5023792.128)</f>
        <v>5023792.128</v>
      </c>
      <c r="L15" s="7">
        <f>IFERROR(__xludf.DUMMYFUNCTION("""COMPUTED_VALUE"""),46177.67511784722)</f>
        <v>46177.67512</v>
      </c>
    </row>
    <row r="16" ht="22.5" customHeight="1">
      <c r="A16" s="5">
        <f>IFERROR(__xludf.DUMMYFUNCTION("""COMPUTED_VALUE"""),15.0)</f>
        <v>15</v>
      </c>
      <c r="B16" s="5">
        <f>IFERROR(__xludf.DUMMYFUNCTION("""COMPUTED_VALUE"""),7.0)</f>
        <v>7</v>
      </c>
      <c r="C16" s="5">
        <f>IFERROR(__xludf.DUMMYFUNCTION("""COMPUTED_VALUE"""),1809.0)</f>
        <v>1809</v>
      </c>
      <c r="D16" s="5">
        <f>IFERROR(__xludf.DUMMYFUNCTION("""COMPUTED_VALUE"""),1523.0)</f>
        <v>1523</v>
      </c>
      <c r="E16" s="5">
        <f>IFERROR(__xludf.DUMMYFUNCTION("""COMPUTED_VALUE"""),71.0)</f>
        <v>71</v>
      </c>
      <c r="F16" s="5">
        <f>IFERROR(__xludf.DUMMYFUNCTION("""COMPUTED_VALUE"""),2.0)</f>
        <v>2</v>
      </c>
      <c r="G16" s="5">
        <f>IFERROR(__xludf.DUMMYFUNCTION("""COMPUTED_VALUE"""),1.0)</f>
        <v>1</v>
      </c>
      <c r="H16" s="5">
        <f>IFERROR(__xludf.DUMMYFUNCTION("""COMPUTED_VALUE"""),1950087.481)</f>
        <v>1950087.481</v>
      </c>
      <c r="I16" s="5">
        <f>IFERROR(__xludf.DUMMYFUNCTION("""COMPUTED_VALUE"""),100.0)</f>
        <v>100</v>
      </c>
      <c r="J16" s="5">
        <f>IFERROR(__xludf.DUMMYFUNCTION("""COMPUTED_VALUE"""),3685.0)</f>
        <v>3685</v>
      </c>
      <c r="K16" s="8">
        <f>IFERROR(__xludf.DUMMYFUNCTION("""COMPUTED_VALUE"""),6054040.367485)</f>
        <v>6054040.367</v>
      </c>
      <c r="L16" s="7">
        <f>IFERROR(__xludf.DUMMYFUNCTION("""COMPUTED_VALUE"""),46177.46790392361)</f>
        <v>46177.4679</v>
      </c>
    </row>
    <row r="17" ht="22.5" customHeight="1">
      <c r="A17" s="5">
        <f>IFERROR(__xludf.DUMMYFUNCTION("""COMPUTED_VALUE"""),16.0)</f>
        <v>16</v>
      </c>
      <c r="B17" s="5">
        <f>IFERROR(__xludf.DUMMYFUNCTION("""COMPUTED_VALUE"""),5.0)</f>
        <v>5</v>
      </c>
      <c r="C17" s="5">
        <f>IFERROR(__xludf.DUMMYFUNCTION("""COMPUTED_VALUE"""),1777.0)</f>
        <v>1777</v>
      </c>
      <c r="D17" s="5">
        <f>IFERROR(__xludf.DUMMYFUNCTION("""COMPUTED_VALUE"""),1829.0)</f>
        <v>1829</v>
      </c>
      <c r="E17" s="5">
        <f>IFERROR(__xludf.DUMMYFUNCTION("""COMPUTED_VALUE"""),265.0)</f>
        <v>265</v>
      </c>
      <c r="F17" s="5">
        <f>IFERROR(__xludf.DUMMYFUNCTION("""COMPUTED_VALUE"""),2.0)</f>
        <v>2</v>
      </c>
      <c r="G17" s="5">
        <f>IFERROR(__xludf.DUMMYFUNCTION("""COMPUTED_VALUE"""),1.0)</f>
        <v>1</v>
      </c>
      <c r="H17" s="5">
        <f>IFERROR(__xludf.DUMMYFUNCTION("""COMPUTED_VALUE"""),1955561.979)</f>
        <v>1955561.979</v>
      </c>
      <c r="I17" s="5">
        <f>IFERROR(__xludf.DUMMYFUNCTION("""COMPUTED_VALUE"""),100.0)</f>
        <v>100</v>
      </c>
      <c r="J17" s="5">
        <f>IFERROR(__xludf.DUMMYFUNCTION("""COMPUTED_VALUE"""),4153.0)</f>
        <v>4153</v>
      </c>
      <c r="K17" s="8">
        <f>IFERROR(__xludf.DUMMYFUNCTION("""COMPUTED_VALUE"""),6845647.298787)</f>
        <v>6845647.299</v>
      </c>
      <c r="L17" s="7">
        <f>IFERROR(__xludf.DUMMYFUNCTION("""COMPUTED_VALUE"""),46177.5324434375)</f>
        <v>46177.53244</v>
      </c>
    </row>
    <row r="18" ht="22.5" customHeight="1">
      <c r="A18" s="5">
        <f>IFERROR(__xludf.DUMMYFUNCTION("""COMPUTED_VALUE"""),17.0)</f>
        <v>17</v>
      </c>
      <c r="B18" s="5">
        <f>IFERROR(__xludf.DUMMYFUNCTION("""COMPUTED_VALUE"""),21.0)</f>
        <v>21</v>
      </c>
      <c r="C18" s="5">
        <f>IFERROR(__xludf.DUMMYFUNCTION("""COMPUTED_VALUE"""),1873.0)</f>
        <v>1873</v>
      </c>
      <c r="D18" s="5">
        <f>IFERROR(__xludf.DUMMYFUNCTION("""COMPUTED_VALUE"""),1822.0)</f>
        <v>1822</v>
      </c>
      <c r="E18" s="5">
        <f>IFERROR(__xludf.DUMMYFUNCTION("""COMPUTED_VALUE"""),259.0)</f>
        <v>259</v>
      </c>
      <c r="F18" s="5">
        <f>IFERROR(__xludf.DUMMYFUNCTION("""COMPUTED_VALUE"""),0.0)</f>
        <v>0</v>
      </c>
      <c r="G18" s="5">
        <f>IFERROR(__xludf.DUMMYFUNCTION("""COMPUTED_VALUE"""),0.0)</f>
        <v>0</v>
      </c>
      <c r="H18" s="5">
        <f>IFERROR(__xludf.DUMMYFUNCTION("""COMPUTED_VALUE"""),2215212.795)</f>
        <v>2215212.795</v>
      </c>
      <c r="I18" s="5">
        <f>IFERROR(__xludf.DUMMYFUNCTION("""COMPUTED_VALUE"""),71.0)</f>
        <v>71</v>
      </c>
      <c r="J18" s="5">
        <f>IFERROR(__xludf.DUMMYFUNCTION("""COMPUTED_VALUE"""),3954.0)</f>
        <v>3954</v>
      </c>
      <c r="K18" s="8">
        <f>IFERROR(__xludf.DUMMYFUNCTION("""COMPUTED_VALUE"""),7048150.264669437)</f>
        <v>7048150.265</v>
      </c>
      <c r="L18" s="7">
        <f>IFERROR(__xludf.DUMMYFUNCTION("""COMPUTED_VALUE"""),46177.656442060186)</f>
        <v>46177.65644</v>
      </c>
    </row>
    <row r="19" ht="22.5" customHeight="1">
      <c r="A19" s="5">
        <f>IFERROR(__xludf.DUMMYFUNCTION("""COMPUTED_VALUE"""),18.0)</f>
        <v>18</v>
      </c>
      <c r="B19" s="5">
        <f>IFERROR(__xludf.DUMMYFUNCTION("""COMPUTED_VALUE"""),11.0)</f>
        <v>11</v>
      </c>
      <c r="C19" s="5">
        <f>IFERROR(__xludf.DUMMYFUNCTION("""COMPUTED_VALUE"""),1729.0)</f>
        <v>1729</v>
      </c>
      <c r="D19" s="5">
        <f>IFERROR(__xludf.DUMMYFUNCTION("""COMPUTED_VALUE"""),1482.0)</f>
        <v>1482</v>
      </c>
      <c r="E19" s="5">
        <f>IFERROR(__xludf.DUMMYFUNCTION("""COMPUTED_VALUE"""),99.0)</f>
        <v>99</v>
      </c>
      <c r="F19" s="5">
        <f>IFERROR(__xludf.DUMMYFUNCTION("""COMPUTED_VALUE"""),2.0)</f>
        <v>2</v>
      </c>
      <c r="G19" s="5">
        <f>IFERROR(__xludf.DUMMYFUNCTION("""COMPUTED_VALUE"""),1.0)</f>
        <v>1</v>
      </c>
      <c r="H19" s="5">
        <f>IFERROR(__xludf.DUMMYFUNCTION("""COMPUTED_VALUE"""),3184887.93)</f>
        <v>3184887.93</v>
      </c>
      <c r="I19" s="5">
        <f>IFERROR(__xludf.DUMMYFUNCTION("""COMPUTED_VALUE"""),100.0)</f>
        <v>100</v>
      </c>
      <c r="J19" s="5">
        <f>IFERROR(__xludf.DUMMYFUNCTION("""COMPUTED_VALUE"""),3592.0)</f>
        <v>3592</v>
      </c>
      <c r="K19" s="8">
        <f>IFERROR(__xludf.DUMMYFUNCTION("""COMPUTED_VALUE"""),1.0336655044560002E7)</f>
        <v>10336655.04</v>
      </c>
      <c r="L19" s="7">
        <f>IFERROR(__xludf.DUMMYFUNCTION("""COMPUTED_VALUE"""),46176.945609166665)</f>
        <v>46176.94561</v>
      </c>
    </row>
    <row r="20" ht="22.5" customHeight="1">
      <c r="A20" s="5">
        <f>IFERROR(__xludf.DUMMYFUNCTION("""COMPUTED_VALUE"""),19.0)</f>
        <v>19</v>
      </c>
      <c r="B20" s="5">
        <f>IFERROR(__xludf.DUMMYFUNCTION("""COMPUTED_VALUE"""),15.0)</f>
        <v>15</v>
      </c>
      <c r="C20" s="5">
        <f>IFERROR(__xludf.DUMMYFUNCTION("""COMPUTED_VALUE"""),2291.0)</f>
        <v>2291</v>
      </c>
      <c r="D20" s="5">
        <f>IFERROR(__xludf.DUMMYFUNCTION("""COMPUTED_VALUE"""),1946.0)</f>
        <v>1946</v>
      </c>
      <c r="E20" s="5">
        <f>IFERROR(__xludf.DUMMYFUNCTION("""COMPUTED_VALUE"""),287.0)</f>
        <v>287</v>
      </c>
      <c r="F20" s="5">
        <f>IFERROR(__xludf.DUMMYFUNCTION("""COMPUTED_VALUE"""),2.0)</f>
        <v>2</v>
      </c>
      <c r="G20" s="5">
        <f>IFERROR(__xludf.DUMMYFUNCTION("""COMPUTED_VALUE"""),1.0)</f>
        <v>1</v>
      </c>
      <c r="H20" s="5">
        <f>IFERROR(__xludf.DUMMYFUNCTION("""COMPUTED_VALUE"""),2474244.227)</f>
        <v>2474244.227</v>
      </c>
      <c r="I20" s="5">
        <f>IFERROR(__xludf.DUMMYFUNCTION("""COMPUTED_VALUE"""),100.0)</f>
        <v>100</v>
      </c>
      <c r="J20" s="5">
        <f>IFERROR(__xludf.DUMMYFUNCTION("""COMPUTED_VALUE"""),4806.0)</f>
        <v>4806</v>
      </c>
      <c r="K20" s="8">
        <f>IFERROR(__xludf.DUMMYFUNCTION("""COMPUTED_VALUE"""),1.0414814554962002E7)</f>
        <v>10414814.55</v>
      </c>
      <c r="L20" s="7">
        <f>IFERROR(__xludf.DUMMYFUNCTION("""COMPUTED_VALUE"""),46177.58047071759)</f>
        <v>46177.58047</v>
      </c>
    </row>
    <row r="21" ht="22.5" customHeight="1">
      <c r="A21" s="5">
        <f>IFERROR(__xludf.DUMMYFUNCTION("""COMPUTED_VALUE"""),20.0)</f>
        <v>20</v>
      </c>
      <c r="B21" s="5">
        <f>IFERROR(__xludf.DUMMYFUNCTION("""COMPUTED_VALUE"""),18.0)</f>
        <v>18</v>
      </c>
      <c r="C21" s="5">
        <f>IFERROR(__xludf.DUMMYFUNCTION("""COMPUTED_VALUE"""),2572.0)</f>
        <v>2572</v>
      </c>
      <c r="D21" s="5">
        <f>IFERROR(__xludf.DUMMYFUNCTION("""COMPUTED_VALUE"""),1835.0)</f>
        <v>1835</v>
      </c>
      <c r="E21" s="5">
        <f>IFERROR(__xludf.DUMMYFUNCTION("""COMPUTED_VALUE"""),262.0)</f>
        <v>262</v>
      </c>
      <c r="F21" s="5">
        <f>IFERROR(__xludf.DUMMYFUNCTION("""COMPUTED_VALUE"""),2.0)</f>
        <v>2</v>
      </c>
      <c r="G21" s="5">
        <f>IFERROR(__xludf.DUMMYFUNCTION("""COMPUTED_VALUE"""),1.0)</f>
        <v>1</v>
      </c>
      <c r="H21" s="5">
        <f>IFERROR(__xludf.DUMMYFUNCTION("""COMPUTED_VALUE"""),3216513.442)</f>
        <v>3216513.442</v>
      </c>
      <c r="I21" s="5">
        <f>IFERROR(__xludf.DUMMYFUNCTION("""COMPUTED_VALUE"""),50.0)</f>
        <v>50</v>
      </c>
      <c r="J21" s="5">
        <f>IFERROR(__xludf.DUMMYFUNCTION("""COMPUTED_VALUE"""),4951.0)</f>
        <v>4951</v>
      </c>
      <c r="K21" s="8">
        <f>IFERROR(__xludf.DUMMYFUNCTION("""COMPUTED_VALUE"""),1.2883063651341999E7)</f>
        <v>12883063.65</v>
      </c>
      <c r="L21" s="7">
        <f>IFERROR(__xludf.DUMMYFUNCTION("""COMPUTED_VALUE"""),46177.55275981482)</f>
        <v>46177.55276</v>
      </c>
    </row>
    <row r="22" ht="22.5" customHeight="1">
      <c r="A22" s="5">
        <f>IFERROR(__xludf.DUMMYFUNCTION("""COMPUTED_VALUE"""),21.0)</f>
        <v>21</v>
      </c>
      <c r="B22" s="5">
        <f>IFERROR(__xludf.DUMMYFUNCTION("""COMPUTED_VALUE"""),12.0)</f>
        <v>12</v>
      </c>
      <c r="C22" s="5">
        <f>IFERROR(__xludf.DUMMYFUNCTION("""COMPUTED_VALUE"""),1996.0)</f>
        <v>1996</v>
      </c>
      <c r="D22" s="5">
        <f>IFERROR(__xludf.DUMMYFUNCTION("""COMPUTED_VALUE"""),1809.0)</f>
        <v>1809</v>
      </c>
      <c r="E22" s="5">
        <f>IFERROR(__xludf.DUMMYFUNCTION("""COMPUTED_VALUE"""),267.0)</f>
        <v>267</v>
      </c>
      <c r="F22" s="5">
        <f>IFERROR(__xludf.DUMMYFUNCTION("""COMPUTED_VALUE"""),0.0)</f>
        <v>0</v>
      </c>
      <c r="G22" s="5">
        <f>IFERROR(__xludf.DUMMYFUNCTION("""COMPUTED_VALUE"""),0.0)</f>
        <v>0</v>
      </c>
      <c r="H22" s="5">
        <f>IFERROR(__xludf.DUMMYFUNCTION("""COMPUTED_VALUE"""),3470952.856)</f>
        <v>3470952.856</v>
      </c>
      <c r="I22" s="5">
        <f>IFERROR(__xludf.DUMMYFUNCTION("""COMPUTED_VALUE"""),105.0)</f>
        <v>105</v>
      </c>
      <c r="J22" s="5">
        <f>IFERROR(__xludf.DUMMYFUNCTION("""COMPUTED_VALUE"""),4072.0)</f>
        <v>4072</v>
      </c>
      <c r="K22" s="8">
        <f>IFERROR(__xludf.DUMMYFUNCTION("""COMPUTED_VALUE"""),1.2942369172489144E7)</f>
        <v>12942369.17</v>
      </c>
      <c r="L22" s="7">
        <f>IFERROR(__xludf.DUMMYFUNCTION("""COMPUTED_VALUE"""),46177.65679991899)</f>
        <v>46177.6568</v>
      </c>
    </row>
    <row r="23" ht="22.5" customHeight="1">
      <c r="A23" s="5">
        <f>IFERROR(__xludf.DUMMYFUNCTION("""COMPUTED_VALUE"""),22.0)</f>
        <v>22</v>
      </c>
      <c r="B23" s="5">
        <f>IFERROR(__xludf.DUMMYFUNCTION("""COMPUTED_VALUE"""),16.0)</f>
        <v>16</v>
      </c>
      <c r="C23" s="5">
        <f>IFERROR(__xludf.DUMMYFUNCTION("""COMPUTED_VALUE"""),2497.0)</f>
        <v>2497</v>
      </c>
      <c r="D23" s="5">
        <f>IFERROR(__xludf.DUMMYFUNCTION("""COMPUTED_VALUE"""),2090.0)</f>
        <v>2090</v>
      </c>
      <c r="E23" s="5">
        <f>IFERROR(__xludf.DUMMYFUNCTION("""COMPUTED_VALUE"""),270.0)</f>
        <v>270</v>
      </c>
      <c r="F23" s="5">
        <f>IFERROR(__xludf.DUMMYFUNCTION("""COMPUTED_VALUE"""),2.0)</f>
        <v>2</v>
      </c>
      <c r="G23" s="5">
        <f>IFERROR(__xludf.DUMMYFUNCTION("""COMPUTED_VALUE"""),1.0)</f>
        <v>1</v>
      </c>
      <c r="H23" s="5">
        <f>IFERROR(__xludf.DUMMYFUNCTION("""COMPUTED_VALUE"""),3162000.0)</f>
        <v>3162000</v>
      </c>
      <c r="I23" s="5">
        <f>IFERROR(__xludf.DUMMYFUNCTION("""COMPUTED_VALUE"""),100.0)</f>
        <v>100</v>
      </c>
      <c r="J23" s="5">
        <f>IFERROR(__xludf.DUMMYFUNCTION("""COMPUTED_VALUE"""),5139.0)</f>
        <v>5139</v>
      </c>
      <c r="K23" s="8">
        <f>IFERROR(__xludf.DUMMYFUNCTION("""COMPUTED_VALUE"""),1.4670817200000001E7)</f>
        <v>14670817.2</v>
      </c>
      <c r="L23" s="7">
        <f>IFERROR(__xludf.DUMMYFUNCTION("""COMPUTED_VALUE"""),46177.58003070602)</f>
        <v>46177.58003</v>
      </c>
    </row>
    <row r="24" ht="22.5" customHeight="1">
      <c r="A24" s="5">
        <f>IFERROR(__xludf.DUMMYFUNCTION("""COMPUTED_VALUE"""),23.0)</f>
        <v>23</v>
      </c>
      <c r="B24" s="5">
        <f>IFERROR(__xludf.DUMMYFUNCTION("""COMPUTED_VALUE"""),28.0)</f>
        <v>28</v>
      </c>
      <c r="C24" s="5">
        <f>IFERROR(__xludf.DUMMYFUNCTION("""COMPUTED_VALUE"""),2391.0)</f>
        <v>2391</v>
      </c>
      <c r="D24" s="5">
        <f>IFERROR(__xludf.DUMMYFUNCTION("""COMPUTED_VALUE"""),960.0)</f>
        <v>960</v>
      </c>
      <c r="E24" s="5">
        <f>IFERROR(__xludf.DUMMYFUNCTION("""COMPUTED_VALUE"""),7.0)</f>
        <v>7</v>
      </c>
      <c r="F24" s="5">
        <f>IFERROR(__xludf.DUMMYFUNCTION("""COMPUTED_VALUE"""),2.0)</f>
        <v>2</v>
      </c>
      <c r="G24" s="5">
        <f>IFERROR(__xludf.DUMMYFUNCTION("""COMPUTED_VALUE"""),1.0)</f>
        <v>1</v>
      </c>
      <c r="H24" s="5">
        <f>IFERROR(__xludf.DUMMYFUNCTION("""COMPUTED_VALUE"""),5042300.0)</f>
        <v>5042300</v>
      </c>
      <c r="I24" s="5">
        <f>IFERROR(__xludf.DUMMYFUNCTION("""COMPUTED_VALUE"""),50.0)</f>
        <v>50</v>
      </c>
      <c r="J24" s="5">
        <f>IFERROR(__xludf.DUMMYFUNCTION("""COMPUTED_VALUE"""),3640.0)</f>
        <v>3640</v>
      </c>
      <c r="K24" s="8">
        <f>IFERROR(__xludf.DUMMYFUNCTION("""COMPUTED_VALUE"""),1.6117556000000002E7)</f>
        <v>16117556</v>
      </c>
      <c r="L24" s="7">
        <f>IFERROR(__xludf.DUMMYFUNCTION("""COMPUTED_VALUE"""),46177.578979375)</f>
        <v>46177.57898</v>
      </c>
    </row>
    <row r="25" ht="22.5" customHeight="1">
      <c r="A25" s="5">
        <f>IFERROR(__xludf.DUMMYFUNCTION("""COMPUTED_VALUE"""),24.0)</f>
        <v>24</v>
      </c>
      <c r="B25" s="5">
        <f>IFERROR(__xludf.DUMMYFUNCTION("""COMPUTED_VALUE"""),23.0)</f>
        <v>23</v>
      </c>
      <c r="C25" s="5">
        <f>IFERROR(__xludf.DUMMYFUNCTION("""COMPUTED_VALUE"""),1833.0)</f>
        <v>1833</v>
      </c>
      <c r="D25" s="5">
        <f>IFERROR(__xludf.DUMMYFUNCTION("""COMPUTED_VALUE"""),1787.0)</f>
        <v>1787</v>
      </c>
      <c r="E25" s="5">
        <f>IFERROR(__xludf.DUMMYFUNCTION("""COMPUTED_VALUE"""),280.0)</f>
        <v>280</v>
      </c>
      <c r="F25" s="5">
        <f>IFERROR(__xludf.DUMMYFUNCTION("""COMPUTED_VALUE"""),10.0)</f>
        <v>10</v>
      </c>
      <c r="G25" s="5">
        <f>IFERROR(__xludf.DUMMYFUNCTION("""COMPUTED_VALUE"""),1.0)</f>
        <v>1</v>
      </c>
      <c r="H25" s="5">
        <f>IFERROR(__xludf.DUMMYFUNCTION("""COMPUTED_VALUE"""),5214839.697)</f>
        <v>5214839.697</v>
      </c>
      <c r="I25" s="5">
        <f>IFERROR(__xludf.DUMMYFUNCTION("""COMPUTED_VALUE"""),50.0)</f>
        <v>50</v>
      </c>
      <c r="J25" s="5">
        <f>IFERROR(__xludf.DUMMYFUNCTION("""COMPUTED_VALUE"""),4190.0)</f>
        <v>4190</v>
      </c>
      <c r="K25" s="8">
        <f>IFERROR(__xludf.DUMMYFUNCTION("""COMPUTED_VALUE"""),1.9275842330429997E7)</f>
        <v>19275842.33</v>
      </c>
      <c r="L25" s="7">
        <f>IFERROR(__xludf.DUMMYFUNCTION("""COMPUTED_VALUE"""),46177.42047936343)</f>
        <v>46177.42048</v>
      </c>
    </row>
    <row r="26" ht="22.5" customHeight="1">
      <c r="A26" s="5">
        <f>IFERROR(__xludf.DUMMYFUNCTION("""COMPUTED_VALUE"""),25.0)</f>
        <v>25</v>
      </c>
      <c r="B26" s="5">
        <f>IFERROR(__xludf.DUMMYFUNCTION("""COMPUTED_VALUE"""),2.0)</f>
        <v>2</v>
      </c>
      <c r="C26" s="5">
        <f>IFERROR(__xludf.DUMMYFUNCTION("""COMPUTED_VALUE"""),1984.0)</f>
        <v>1984</v>
      </c>
      <c r="D26" s="5">
        <f>IFERROR(__xludf.DUMMYFUNCTION("""COMPUTED_VALUE"""),1826.0)</f>
        <v>1826</v>
      </c>
      <c r="E26" s="5">
        <f>IFERROR(__xludf.DUMMYFUNCTION("""COMPUTED_VALUE"""),278.0)</f>
        <v>278</v>
      </c>
      <c r="F26" s="5">
        <f>IFERROR(__xludf.DUMMYFUNCTION("""COMPUTED_VALUE"""),2.0)</f>
        <v>2</v>
      </c>
      <c r="G26" s="5">
        <f>IFERROR(__xludf.DUMMYFUNCTION("""COMPUTED_VALUE"""),1.0)</f>
        <v>1</v>
      </c>
      <c r="H26" s="5">
        <f>IFERROR(__xludf.DUMMYFUNCTION("""COMPUTED_VALUE"""),5098755.0)</f>
        <v>5098755</v>
      </c>
      <c r="I26" s="5">
        <f>IFERROR(__xludf.DUMMYFUNCTION("""COMPUTED_VALUE"""),50.0)</f>
        <v>50</v>
      </c>
      <c r="J26" s="5">
        <f>IFERROR(__xludf.DUMMYFUNCTION("""COMPUTED_VALUE"""),4370.0)</f>
        <v>4370</v>
      </c>
      <c r="K26" s="8">
        <f>IFERROR(__xludf.DUMMYFUNCTION("""COMPUTED_VALUE"""),1.959663135E7)</f>
        <v>19596631.35</v>
      </c>
      <c r="L26" s="7">
        <f>IFERROR(__xludf.DUMMYFUNCTION("""COMPUTED_VALUE"""),46177.64920665509)</f>
        <v>46177.64921</v>
      </c>
    </row>
    <row r="27" ht="22.5" customHeight="1">
      <c r="A27" s="5">
        <f>IFERROR(__xludf.DUMMYFUNCTION("""COMPUTED_VALUE"""),26.0)</f>
        <v>26</v>
      </c>
      <c r="B27" s="5">
        <f>IFERROR(__xludf.DUMMYFUNCTION("""COMPUTED_VALUE"""),25.0)</f>
        <v>25</v>
      </c>
      <c r="C27" s="5">
        <f>IFERROR(__xludf.DUMMYFUNCTION("""COMPUTED_VALUE"""),1704.0)</f>
        <v>1704</v>
      </c>
      <c r="D27" s="5">
        <f>IFERROR(__xludf.DUMMYFUNCTION("""COMPUTED_VALUE"""),1762.0)</f>
        <v>1762</v>
      </c>
      <c r="E27" s="5">
        <f>IFERROR(__xludf.DUMMYFUNCTION("""COMPUTED_VALUE"""),264.0)</f>
        <v>264</v>
      </c>
      <c r="F27" s="5">
        <f>IFERROR(__xludf.DUMMYFUNCTION("""COMPUTED_VALUE"""),2.0)</f>
        <v>2</v>
      </c>
      <c r="G27" s="5">
        <f>IFERROR(__xludf.DUMMYFUNCTION("""COMPUTED_VALUE"""),3.0)</f>
        <v>3</v>
      </c>
      <c r="H27" s="5">
        <f>IFERROR(__xludf.DUMMYFUNCTION("""COMPUTED_VALUE"""),4915000.0)</f>
        <v>4915000</v>
      </c>
      <c r="I27" s="5">
        <f>IFERROR(__xludf.DUMMYFUNCTION("""COMPUTED_VALUE"""),50.0)</f>
        <v>50</v>
      </c>
      <c r="J27" s="5">
        <f>IFERROR(__xludf.DUMMYFUNCTION("""COMPUTED_VALUE"""),4572.0)</f>
        <v>4572</v>
      </c>
      <c r="K27" s="8">
        <f>IFERROR(__xludf.DUMMYFUNCTION("""COMPUTED_VALUE"""),1.9662343200000003E7)</f>
        <v>19662343.2</v>
      </c>
      <c r="L27" s="7">
        <f>IFERROR(__xludf.DUMMYFUNCTION("""COMPUTED_VALUE"""),46177.66776010417)</f>
        <v>46177.66776</v>
      </c>
    </row>
    <row r="28" ht="22.5" customHeight="1">
      <c r="K28" s="8"/>
      <c r="L28" s="4"/>
    </row>
    <row r="29" ht="22.5" customHeight="1">
      <c r="K29" s="8"/>
      <c r="L29" s="4"/>
    </row>
    <row r="30" ht="22.5" customHeight="1">
      <c r="K30" s="8"/>
      <c r="L30" s="4"/>
    </row>
    <row r="31" ht="22.5" customHeight="1">
      <c r="K31" s="8"/>
      <c r="L31" s="4"/>
    </row>
    <row r="32" ht="22.5" customHeight="1">
      <c r="K32" s="8"/>
      <c r="L32" s="4"/>
    </row>
    <row r="33" ht="22.5" customHeight="1">
      <c r="K33" s="8"/>
      <c r="L33" s="4"/>
    </row>
    <row r="34" ht="22.5" customHeight="1">
      <c r="K34" s="8"/>
      <c r="L34" s="4"/>
    </row>
    <row r="35" ht="22.5" customHeight="1">
      <c r="K35" s="8"/>
      <c r="L35" s="4"/>
    </row>
    <row r="36" ht="22.5" customHeight="1">
      <c r="K36" s="8"/>
      <c r="L36" s="4"/>
    </row>
    <row r="37" ht="22.5" customHeight="1">
      <c r="K37" s="8"/>
      <c r="L37" s="4"/>
    </row>
    <row r="38" ht="22.5" customHeight="1">
      <c r="K38" s="8"/>
      <c r="L38" s="4"/>
    </row>
    <row r="39" ht="22.5" customHeight="1">
      <c r="K39" s="8"/>
      <c r="L39" s="4"/>
    </row>
    <row r="40" ht="22.5" customHeight="1">
      <c r="K40" s="8"/>
      <c r="L40" s="4"/>
    </row>
    <row r="41" ht="22.5" customHeight="1">
      <c r="K41" s="8"/>
      <c r="L41" s="4"/>
    </row>
    <row r="42" ht="22.5" customHeight="1">
      <c r="K42" s="8"/>
      <c r="L42" s="4"/>
    </row>
    <row r="43" ht="22.5" customHeight="1">
      <c r="K43" s="8"/>
      <c r="L43" s="4"/>
    </row>
    <row r="44" ht="22.5" customHeight="1">
      <c r="K44" s="8"/>
      <c r="L44" s="4"/>
    </row>
    <row r="45" ht="22.5" customHeight="1">
      <c r="K45" s="8"/>
      <c r="L45" s="4"/>
    </row>
    <row r="46" ht="22.5" customHeight="1">
      <c r="K46" s="8"/>
      <c r="L46" s="4"/>
    </row>
    <row r="47" ht="22.5" customHeight="1">
      <c r="K47" s="8"/>
      <c r="L47" s="4"/>
    </row>
    <row r="48" ht="22.5" customHeight="1">
      <c r="K48" s="8"/>
      <c r="L48" s="4"/>
    </row>
    <row r="49" ht="22.5" customHeight="1">
      <c r="K49" s="8"/>
      <c r="L49" s="4"/>
    </row>
    <row r="50" ht="22.5" customHeight="1">
      <c r="K50" s="8"/>
      <c r="L50" s="4"/>
    </row>
    <row r="51" ht="22.5" customHeight="1">
      <c r="K51" s="8"/>
      <c r="L51" s="4"/>
    </row>
    <row r="52" ht="22.5" customHeight="1">
      <c r="K52" s="8"/>
      <c r="L52" s="4"/>
    </row>
    <row r="53" ht="22.5" customHeight="1">
      <c r="K53" s="8"/>
      <c r="L53" s="4"/>
    </row>
    <row r="54" ht="22.5" customHeight="1">
      <c r="K54" s="8"/>
      <c r="L54" s="4"/>
    </row>
    <row r="55" ht="22.5" customHeight="1">
      <c r="K55" s="8"/>
      <c r="L55" s="4"/>
    </row>
    <row r="56" ht="22.5" customHeight="1">
      <c r="K56" s="8"/>
      <c r="L56" s="4"/>
    </row>
    <row r="57" ht="22.5" customHeight="1">
      <c r="K57" s="8"/>
      <c r="L57" s="4"/>
    </row>
    <row r="58" ht="22.5" customHeight="1">
      <c r="K58" s="8"/>
      <c r="L58" s="4"/>
    </row>
    <row r="59" ht="22.5" customHeight="1">
      <c r="K59" s="8"/>
      <c r="L59" s="4"/>
    </row>
    <row r="60" ht="22.5" customHeight="1">
      <c r="K60" s="8"/>
      <c r="L60" s="4"/>
    </row>
    <row r="61" ht="22.5" customHeight="1">
      <c r="K61" s="8"/>
      <c r="L61" s="4"/>
    </row>
    <row r="62" ht="22.5" customHeight="1">
      <c r="K62" s="8"/>
      <c r="L62" s="4"/>
    </row>
    <row r="63" ht="22.5" customHeight="1">
      <c r="K63" s="8"/>
      <c r="L63" s="4"/>
    </row>
    <row r="64" ht="22.5" customHeight="1">
      <c r="K64" s="8"/>
      <c r="L64" s="4"/>
    </row>
    <row r="65" ht="22.5" customHeight="1">
      <c r="K65" s="8"/>
      <c r="L65" s="4"/>
    </row>
    <row r="66" ht="22.5" customHeight="1">
      <c r="K66" s="8"/>
      <c r="L66" s="4"/>
    </row>
    <row r="67" ht="22.5" customHeight="1">
      <c r="K67" s="8"/>
      <c r="L67" s="4"/>
    </row>
    <row r="68" ht="22.5" customHeight="1">
      <c r="K68" s="8"/>
      <c r="L68" s="4"/>
    </row>
    <row r="69" ht="22.5" customHeight="1">
      <c r="K69" s="8"/>
      <c r="L69" s="4"/>
    </row>
    <row r="70" ht="22.5" customHeight="1">
      <c r="K70" s="8"/>
      <c r="L70" s="4"/>
    </row>
    <row r="71" ht="22.5" customHeight="1">
      <c r="K71" s="8"/>
      <c r="L71" s="4"/>
    </row>
    <row r="72" ht="22.5" customHeight="1">
      <c r="K72" s="8"/>
      <c r="L72" s="4"/>
    </row>
    <row r="73" ht="22.5" customHeight="1">
      <c r="K73" s="8"/>
      <c r="L73" s="4"/>
    </row>
    <row r="74" ht="22.5" customHeight="1">
      <c r="K74" s="8"/>
      <c r="L74" s="4"/>
    </row>
    <row r="75" ht="22.5" customHeight="1">
      <c r="K75" s="8"/>
      <c r="L75" s="4"/>
    </row>
    <row r="76" ht="22.5" customHeight="1">
      <c r="K76" s="8"/>
      <c r="L76" s="4"/>
    </row>
    <row r="77" ht="22.5" customHeight="1">
      <c r="K77" s="8"/>
      <c r="L77" s="4"/>
    </row>
    <row r="78" ht="22.5" customHeight="1">
      <c r="K78" s="8"/>
      <c r="L78" s="4"/>
    </row>
    <row r="79" ht="22.5" customHeight="1">
      <c r="K79" s="8"/>
      <c r="L79" s="4"/>
    </row>
    <row r="80" ht="22.5" customHeight="1">
      <c r="K80" s="8"/>
      <c r="L80" s="4"/>
    </row>
    <row r="81" ht="22.5" customHeight="1">
      <c r="K81" s="8"/>
      <c r="L81" s="4"/>
    </row>
    <row r="82" ht="22.5" customHeight="1">
      <c r="K82" s="8"/>
      <c r="L82" s="4"/>
    </row>
    <row r="83" ht="22.5" customHeight="1">
      <c r="K83" s="8"/>
      <c r="L83" s="4"/>
    </row>
    <row r="84" ht="22.5" customHeight="1">
      <c r="K84" s="8"/>
      <c r="L84" s="4"/>
    </row>
    <row r="85" ht="22.5" customHeight="1">
      <c r="K85" s="8"/>
      <c r="L85" s="4"/>
    </row>
    <row r="86" ht="22.5" customHeight="1">
      <c r="K86" s="8"/>
      <c r="L86" s="4"/>
    </row>
    <row r="87" ht="22.5" customHeight="1">
      <c r="K87" s="8"/>
      <c r="L87" s="4"/>
    </row>
    <row r="88" ht="22.5" customHeight="1">
      <c r="K88" s="8"/>
      <c r="L88" s="4"/>
    </row>
    <row r="89" ht="22.5" customHeight="1">
      <c r="K89" s="8"/>
      <c r="L89" s="4"/>
    </row>
    <row r="90" ht="22.5" customHeight="1">
      <c r="K90" s="8"/>
      <c r="L90" s="4"/>
    </row>
    <row r="91" ht="22.5" customHeight="1">
      <c r="K91" s="8"/>
      <c r="L91" s="4"/>
    </row>
    <row r="92" ht="22.5" customHeight="1">
      <c r="K92" s="8"/>
      <c r="L92" s="4"/>
    </row>
    <row r="93" ht="22.5" customHeight="1">
      <c r="K93" s="8"/>
      <c r="L93" s="4"/>
    </row>
    <row r="94" ht="22.5" customHeight="1">
      <c r="K94" s="8"/>
      <c r="L94" s="4"/>
    </row>
    <row r="95" ht="22.5" customHeight="1">
      <c r="K95" s="8"/>
      <c r="L95" s="4"/>
    </row>
    <row r="96" ht="22.5" customHeight="1">
      <c r="K96" s="8"/>
      <c r="L96" s="4"/>
    </row>
    <row r="97" ht="22.5" customHeight="1">
      <c r="K97" s="8"/>
      <c r="L97" s="4"/>
    </row>
    <row r="98" ht="22.5" customHeight="1">
      <c r="K98" s="8"/>
      <c r="L98" s="4"/>
    </row>
    <row r="99" ht="22.5" customHeight="1">
      <c r="K99" s="8"/>
      <c r="L99" s="4"/>
    </row>
    <row r="100" ht="22.5" customHeight="1">
      <c r="K100" s="8"/>
      <c r="L100" s="4"/>
    </row>
    <row r="101" ht="22.5" customHeight="1">
      <c r="K101" s="8"/>
      <c r="L101" s="4"/>
    </row>
    <row r="102" ht="22.5" customHeight="1">
      <c r="K102" s="8"/>
      <c r="L102" s="4"/>
    </row>
    <row r="103" ht="22.5" customHeight="1">
      <c r="K103" s="8"/>
      <c r="L103" s="4"/>
    </row>
    <row r="104" ht="22.5" customHeight="1">
      <c r="K104" s="8"/>
      <c r="L104" s="4"/>
    </row>
    <row r="105" ht="22.5" customHeight="1">
      <c r="K105" s="8"/>
      <c r="L105" s="4"/>
    </row>
    <row r="106" ht="22.5" customHeight="1">
      <c r="K106" s="8"/>
      <c r="L106" s="4"/>
    </row>
    <row r="107" ht="22.5" customHeight="1">
      <c r="K107" s="8"/>
      <c r="L107" s="4"/>
    </row>
    <row r="108" ht="22.5" customHeight="1">
      <c r="K108" s="8"/>
      <c r="L108" s="4"/>
    </row>
    <row r="109" ht="22.5" customHeight="1">
      <c r="K109" s="8"/>
      <c r="L109" s="4"/>
    </row>
    <row r="110" ht="22.5" customHeight="1">
      <c r="K110" s="8"/>
      <c r="L110" s="4"/>
    </row>
    <row r="111" ht="22.5" customHeight="1">
      <c r="K111" s="8"/>
      <c r="L111" s="4"/>
    </row>
    <row r="112" ht="22.5" customHeight="1">
      <c r="K112" s="8"/>
      <c r="L112" s="4"/>
    </row>
    <row r="113" ht="22.5" customHeight="1">
      <c r="K113" s="8"/>
      <c r="L113" s="4"/>
    </row>
    <row r="114" ht="22.5" customHeight="1">
      <c r="K114" s="8"/>
      <c r="L114" s="4"/>
    </row>
    <row r="115" ht="22.5" customHeight="1">
      <c r="K115" s="8"/>
      <c r="L115" s="4"/>
    </row>
    <row r="116" ht="22.5" customHeight="1">
      <c r="K116" s="8"/>
      <c r="L116" s="4"/>
    </row>
    <row r="117" ht="22.5" customHeight="1">
      <c r="K117" s="8"/>
      <c r="L117" s="4"/>
    </row>
    <row r="118" ht="22.5" customHeight="1">
      <c r="K118" s="8"/>
      <c r="L118" s="4"/>
    </row>
    <row r="119" ht="22.5" customHeight="1">
      <c r="K119" s="8"/>
      <c r="L119" s="4"/>
    </row>
    <row r="120" ht="22.5" customHeight="1">
      <c r="K120" s="8"/>
      <c r="L120" s="4"/>
    </row>
    <row r="121" ht="22.5" customHeight="1">
      <c r="K121" s="8"/>
      <c r="L121" s="4"/>
    </row>
    <row r="122" ht="22.5" customHeight="1">
      <c r="K122" s="8"/>
      <c r="L122" s="4"/>
    </row>
    <row r="123" ht="22.5" customHeight="1">
      <c r="K123" s="8"/>
      <c r="L123" s="4"/>
    </row>
    <row r="124" ht="22.5" customHeight="1">
      <c r="K124" s="8"/>
      <c r="L124" s="4"/>
    </row>
    <row r="125" ht="22.5" customHeight="1">
      <c r="K125" s="8"/>
      <c r="L125" s="4"/>
    </row>
    <row r="126" ht="22.5" customHeight="1">
      <c r="K126" s="8"/>
      <c r="L126" s="4"/>
    </row>
    <row r="127" ht="22.5" customHeight="1">
      <c r="K127" s="8"/>
      <c r="L127" s="4"/>
    </row>
    <row r="128" ht="22.5" customHeight="1">
      <c r="K128" s="8"/>
      <c r="L128" s="4"/>
    </row>
    <row r="129" ht="22.5" customHeight="1">
      <c r="K129" s="8"/>
      <c r="L129" s="4"/>
    </row>
    <row r="130" ht="22.5" customHeight="1">
      <c r="K130" s="8"/>
      <c r="L130" s="4"/>
    </row>
    <row r="131" ht="22.5" customHeight="1">
      <c r="K131" s="8"/>
      <c r="L131" s="4"/>
    </row>
    <row r="132" ht="22.5" customHeight="1">
      <c r="K132" s="8"/>
      <c r="L132" s="4"/>
    </row>
    <row r="133" ht="22.5" customHeight="1">
      <c r="K133" s="8"/>
      <c r="L133" s="4"/>
    </row>
    <row r="134" ht="22.5" customHeight="1">
      <c r="K134" s="8"/>
      <c r="L134" s="4"/>
    </row>
    <row r="135" ht="22.5" customHeight="1">
      <c r="K135" s="8"/>
      <c r="L135" s="4"/>
    </row>
    <row r="136" ht="22.5" customHeight="1">
      <c r="K136" s="8"/>
      <c r="L136" s="4"/>
    </row>
    <row r="137" ht="22.5" customHeight="1">
      <c r="K137" s="8"/>
      <c r="L137" s="4"/>
    </row>
    <row r="138" ht="22.5" customHeight="1">
      <c r="K138" s="8"/>
      <c r="L138" s="4"/>
    </row>
    <row r="139" ht="22.5" customHeight="1">
      <c r="K139" s="8"/>
      <c r="L139" s="4"/>
    </row>
    <row r="140" ht="22.5" customHeight="1">
      <c r="K140" s="8"/>
      <c r="L140" s="4"/>
    </row>
    <row r="141" ht="22.5" customHeight="1">
      <c r="K141" s="8"/>
      <c r="L141" s="4"/>
    </row>
    <row r="142" ht="22.5" customHeight="1">
      <c r="K142" s="8"/>
      <c r="L142" s="4"/>
    </row>
    <row r="143" ht="22.5" customHeight="1">
      <c r="K143" s="8"/>
      <c r="L143" s="4"/>
    </row>
    <row r="144" ht="22.5" customHeight="1">
      <c r="K144" s="8"/>
      <c r="L144" s="4"/>
    </row>
    <row r="145" ht="22.5" customHeight="1">
      <c r="K145" s="8"/>
      <c r="L145" s="4"/>
    </row>
    <row r="146" ht="22.5" customHeight="1">
      <c r="K146" s="8"/>
      <c r="L146" s="4"/>
    </row>
    <row r="147" ht="22.5" customHeight="1">
      <c r="K147" s="8"/>
      <c r="L147" s="4"/>
    </row>
    <row r="148" ht="22.5" customHeight="1">
      <c r="K148" s="8"/>
      <c r="L148" s="4"/>
    </row>
    <row r="149" ht="22.5" customHeight="1">
      <c r="K149" s="8"/>
      <c r="L149" s="4"/>
    </row>
    <row r="150" ht="22.5" customHeight="1">
      <c r="K150" s="8"/>
      <c r="L150" s="4"/>
    </row>
    <row r="151" ht="22.5" customHeight="1">
      <c r="K151" s="8"/>
      <c r="L151" s="4"/>
    </row>
    <row r="152" ht="22.5" customHeight="1">
      <c r="K152" s="8"/>
      <c r="L152" s="4"/>
    </row>
    <row r="153" ht="22.5" customHeight="1">
      <c r="K153" s="8"/>
      <c r="L153" s="4"/>
    </row>
    <row r="154" ht="22.5" customHeight="1">
      <c r="K154" s="8"/>
      <c r="L154" s="4"/>
    </row>
    <row r="155" ht="22.5" customHeight="1">
      <c r="K155" s="8"/>
      <c r="L155" s="4"/>
    </row>
    <row r="156" ht="22.5" customHeight="1">
      <c r="K156" s="8"/>
      <c r="L156" s="4"/>
    </row>
    <row r="157" ht="22.5" customHeight="1">
      <c r="K157" s="8"/>
      <c r="L157" s="4"/>
    </row>
    <row r="158" ht="22.5" customHeight="1">
      <c r="K158" s="8"/>
      <c r="L158" s="4"/>
    </row>
    <row r="159" ht="22.5" customHeight="1">
      <c r="K159" s="8"/>
      <c r="L159" s="4"/>
    </row>
    <row r="160" ht="22.5" customHeight="1">
      <c r="K160" s="8"/>
      <c r="L160" s="4"/>
    </row>
    <row r="161" ht="22.5" customHeight="1">
      <c r="K161" s="8"/>
      <c r="L161" s="4"/>
    </row>
    <row r="162" ht="22.5" customHeight="1">
      <c r="K162" s="8"/>
      <c r="L162" s="4"/>
    </row>
    <row r="163" ht="22.5" customHeight="1">
      <c r="K163" s="8"/>
      <c r="L163" s="4"/>
    </row>
    <row r="164" ht="22.5" customHeight="1">
      <c r="K164" s="8"/>
      <c r="L164" s="4"/>
    </row>
    <row r="165" ht="22.5" customHeight="1">
      <c r="K165" s="8"/>
      <c r="L165" s="4"/>
    </row>
    <row r="166" ht="22.5" customHeight="1">
      <c r="K166" s="8"/>
      <c r="L166" s="4"/>
    </row>
    <row r="167" ht="22.5" customHeight="1">
      <c r="K167" s="8"/>
      <c r="L167" s="4"/>
    </row>
    <row r="168" ht="22.5" customHeight="1">
      <c r="K168" s="8"/>
      <c r="L168" s="4"/>
    </row>
    <row r="169" ht="22.5" customHeight="1">
      <c r="K169" s="8"/>
      <c r="L169" s="4"/>
    </row>
    <row r="170" ht="22.5" customHeight="1">
      <c r="K170" s="8"/>
      <c r="L170" s="4"/>
    </row>
    <row r="171" ht="22.5" customHeight="1">
      <c r="K171" s="8"/>
      <c r="L171" s="4"/>
    </row>
    <row r="172" ht="22.5" customHeight="1">
      <c r="K172" s="8"/>
      <c r="L172" s="4"/>
    </row>
    <row r="173" ht="22.5" customHeight="1">
      <c r="K173" s="8"/>
      <c r="L173" s="4"/>
    </row>
    <row r="174" ht="22.5" customHeight="1">
      <c r="K174" s="8"/>
      <c r="L174" s="4"/>
    </row>
    <row r="175" ht="22.5" customHeight="1">
      <c r="K175" s="8"/>
      <c r="L175" s="4"/>
    </row>
    <row r="176" ht="22.5" customHeight="1">
      <c r="K176" s="8"/>
      <c r="L176" s="4"/>
    </row>
    <row r="177" ht="22.5" customHeight="1">
      <c r="K177" s="8"/>
      <c r="L177" s="4"/>
    </row>
    <row r="178" ht="22.5" customHeight="1">
      <c r="K178" s="8"/>
      <c r="L178" s="4"/>
    </row>
    <row r="179" ht="22.5" customHeight="1">
      <c r="K179" s="8"/>
      <c r="L179" s="4"/>
    </row>
    <row r="180" ht="22.5" customHeight="1">
      <c r="K180" s="8"/>
      <c r="L180" s="4"/>
    </row>
    <row r="181" ht="22.5" customHeight="1">
      <c r="K181" s="8"/>
      <c r="L181" s="4"/>
    </row>
    <row r="182" ht="22.5" customHeight="1">
      <c r="K182" s="8"/>
      <c r="L182" s="4"/>
    </row>
    <row r="183" ht="22.5" customHeight="1">
      <c r="K183" s="8"/>
      <c r="L183" s="4"/>
    </row>
    <row r="184" ht="22.5" customHeight="1">
      <c r="K184" s="8"/>
      <c r="L184" s="4"/>
    </row>
    <row r="185" ht="22.5" customHeight="1">
      <c r="K185" s="8"/>
      <c r="L185" s="4"/>
    </row>
    <row r="186" ht="22.5" customHeight="1">
      <c r="K186" s="8"/>
      <c r="L186" s="4"/>
    </row>
    <row r="187" ht="22.5" customHeight="1">
      <c r="K187" s="8"/>
      <c r="L187" s="4"/>
    </row>
    <row r="188" ht="22.5" customHeight="1">
      <c r="K188" s="8"/>
      <c r="L188" s="4"/>
    </row>
    <row r="189" ht="22.5" customHeight="1">
      <c r="K189" s="8"/>
      <c r="L189" s="4"/>
    </row>
    <row r="190" ht="22.5" customHeight="1">
      <c r="K190" s="8"/>
      <c r="L190" s="4"/>
    </row>
    <row r="191" ht="22.5" customHeight="1">
      <c r="K191" s="8"/>
      <c r="L191" s="4"/>
    </row>
    <row r="192" ht="22.5" customHeight="1">
      <c r="K192" s="8"/>
      <c r="L192" s="4"/>
    </row>
    <row r="193" ht="22.5" customHeight="1">
      <c r="K193" s="8"/>
      <c r="L193" s="4"/>
    </row>
    <row r="194" ht="22.5" customHeight="1">
      <c r="K194" s="8"/>
      <c r="L194" s="4"/>
    </row>
    <row r="195" ht="22.5" customHeight="1">
      <c r="K195" s="8"/>
      <c r="L195" s="4"/>
    </row>
    <row r="196" ht="22.5" customHeight="1">
      <c r="K196" s="8"/>
      <c r="L196" s="4"/>
    </row>
    <row r="197" ht="22.5" customHeight="1">
      <c r="K197" s="8"/>
      <c r="L197" s="4"/>
    </row>
    <row r="198" ht="22.5" customHeight="1">
      <c r="K198" s="8"/>
      <c r="L198" s="4"/>
    </row>
    <row r="199" ht="22.5" customHeight="1">
      <c r="K199" s="8"/>
      <c r="L199" s="4"/>
    </row>
    <row r="200" ht="22.5" customHeight="1">
      <c r="K200" s="8"/>
      <c r="L200" s="4"/>
    </row>
    <row r="201" ht="22.5" customHeight="1">
      <c r="K201" s="8"/>
      <c r="L201" s="4"/>
    </row>
    <row r="202" ht="22.5" customHeight="1">
      <c r="K202" s="8"/>
      <c r="L202" s="4"/>
    </row>
    <row r="203" ht="22.5" customHeight="1">
      <c r="K203" s="8"/>
      <c r="L203" s="4"/>
    </row>
    <row r="204" ht="22.5" customHeight="1">
      <c r="K204" s="8"/>
      <c r="L204" s="4"/>
    </row>
    <row r="205" ht="22.5" customHeight="1">
      <c r="K205" s="8"/>
      <c r="L205" s="4"/>
    </row>
    <row r="206" ht="22.5" customHeight="1">
      <c r="K206" s="8"/>
      <c r="L206" s="4"/>
    </row>
    <row r="207" ht="22.5" customHeight="1">
      <c r="K207" s="8"/>
      <c r="L207" s="4"/>
    </row>
    <row r="208" ht="22.5" customHeight="1">
      <c r="K208" s="8"/>
      <c r="L208" s="4"/>
    </row>
    <row r="209" ht="22.5" customHeight="1">
      <c r="K209" s="8"/>
      <c r="L209" s="4"/>
    </row>
    <row r="210" ht="22.5" customHeight="1">
      <c r="K210" s="8"/>
      <c r="L210" s="4"/>
    </row>
    <row r="211" ht="22.5" customHeight="1">
      <c r="K211" s="8"/>
      <c r="L211" s="4"/>
    </row>
    <row r="212" ht="22.5" customHeight="1">
      <c r="K212" s="8"/>
      <c r="L212" s="4"/>
    </row>
    <row r="213" ht="22.5" customHeight="1">
      <c r="K213" s="8"/>
      <c r="L213" s="4"/>
    </row>
    <row r="214" ht="22.5" customHeight="1">
      <c r="K214" s="8"/>
      <c r="L214" s="4"/>
    </row>
    <row r="215" ht="22.5" customHeight="1">
      <c r="K215" s="8"/>
      <c r="L215" s="4"/>
    </row>
    <row r="216" ht="22.5" customHeight="1">
      <c r="K216" s="8"/>
      <c r="L216" s="4"/>
    </row>
    <row r="217" ht="22.5" customHeight="1">
      <c r="K217" s="8"/>
      <c r="L217" s="4"/>
    </row>
    <row r="218" ht="22.5" customHeight="1">
      <c r="K218" s="8"/>
      <c r="L218" s="4"/>
    </row>
    <row r="219" ht="22.5" customHeight="1">
      <c r="K219" s="8"/>
      <c r="L219" s="4"/>
    </row>
    <row r="220" ht="22.5" customHeight="1">
      <c r="K220" s="8"/>
      <c r="L220" s="4"/>
    </row>
    <row r="221" ht="22.5" customHeight="1">
      <c r="K221" s="8"/>
      <c r="L221" s="4"/>
    </row>
    <row r="222" ht="22.5" customHeight="1">
      <c r="K222" s="8"/>
      <c r="L222" s="4"/>
    </row>
    <row r="223" ht="22.5" customHeight="1">
      <c r="K223" s="8"/>
      <c r="L223" s="4"/>
    </row>
    <row r="224" ht="22.5" customHeight="1">
      <c r="K224" s="8"/>
      <c r="L224" s="4"/>
    </row>
    <row r="225" ht="22.5" customHeight="1">
      <c r="K225" s="8"/>
      <c r="L225" s="4"/>
    </row>
    <row r="226" ht="22.5" customHeight="1">
      <c r="K226" s="8"/>
      <c r="L226" s="4"/>
    </row>
    <row r="227" ht="22.5" customHeight="1">
      <c r="K227" s="8"/>
      <c r="L227" s="4"/>
    </row>
    <row r="228" ht="22.5" customHeight="1">
      <c r="K228" s="8"/>
      <c r="L228" s="4"/>
    </row>
    <row r="229" ht="22.5" customHeight="1">
      <c r="K229" s="8"/>
      <c r="L229" s="4"/>
    </row>
    <row r="230" ht="22.5" customHeight="1">
      <c r="K230" s="8"/>
      <c r="L230" s="4"/>
    </row>
    <row r="231" ht="22.5" customHeight="1">
      <c r="K231" s="8"/>
      <c r="L231" s="4"/>
    </row>
    <row r="232" ht="22.5" customHeight="1">
      <c r="K232" s="8"/>
      <c r="L232" s="4"/>
    </row>
    <row r="233" ht="22.5" customHeight="1">
      <c r="K233" s="8"/>
      <c r="L233" s="4"/>
    </row>
    <row r="234" ht="22.5" customHeight="1">
      <c r="K234" s="8"/>
      <c r="L234" s="4"/>
    </row>
    <row r="235" ht="22.5" customHeight="1">
      <c r="K235" s="8"/>
      <c r="L235" s="4"/>
    </row>
    <row r="236" ht="22.5" customHeight="1">
      <c r="K236" s="8"/>
      <c r="L236" s="4"/>
    </row>
    <row r="237" ht="22.5" customHeight="1">
      <c r="K237" s="8"/>
      <c r="L237" s="4"/>
    </row>
    <row r="238" ht="22.5" customHeight="1">
      <c r="K238" s="8"/>
      <c r="L238" s="4"/>
    </row>
    <row r="239" ht="22.5" customHeight="1">
      <c r="K239" s="8"/>
      <c r="L239" s="4"/>
    </row>
    <row r="240" ht="22.5" customHeight="1">
      <c r="K240" s="8"/>
      <c r="L240" s="4"/>
    </row>
    <row r="241" ht="22.5" customHeight="1">
      <c r="K241" s="8"/>
      <c r="L241" s="4"/>
    </row>
    <row r="242" ht="22.5" customHeight="1">
      <c r="K242" s="8"/>
      <c r="L242" s="4"/>
    </row>
    <row r="243" ht="22.5" customHeight="1">
      <c r="K243" s="8"/>
      <c r="L243" s="4"/>
    </row>
    <row r="244" ht="22.5" customHeight="1">
      <c r="K244" s="8"/>
      <c r="L244" s="4"/>
    </row>
    <row r="245" ht="22.5" customHeight="1">
      <c r="K245" s="8"/>
      <c r="L245" s="4"/>
    </row>
    <row r="246" ht="22.5" customHeight="1">
      <c r="K246" s="8"/>
      <c r="L246" s="4"/>
    </row>
    <row r="247" ht="22.5" customHeight="1">
      <c r="K247" s="8"/>
      <c r="L247" s="4"/>
    </row>
    <row r="248" ht="22.5" customHeight="1">
      <c r="K248" s="8"/>
      <c r="L248" s="4"/>
    </row>
    <row r="249" ht="22.5" customHeight="1">
      <c r="K249" s="8"/>
      <c r="L249" s="4"/>
    </row>
    <row r="250" ht="22.5" customHeight="1">
      <c r="K250" s="8"/>
      <c r="L250" s="4"/>
    </row>
    <row r="251" ht="22.5" customHeight="1">
      <c r="K251" s="8"/>
      <c r="L251" s="4"/>
    </row>
    <row r="252" ht="22.5" customHeight="1">
      <c r="K252" s="8"/>
      <c r="L252" s="4"/>
    </row>
    <row r="253" ht="22.5" customHeight="1">
      <c r="K253" s="8"/>
      <c r="L253" s="4"/>
    </row>
    <row r="254" ht="22.5" customHeight="1">
      <c r="K254" s="8"/>
      <c r="L254" s="4"/>
    </row>
    <row r="255" ht="22.5" customHeight="1">
      <c r="K255" s="8"/>
      <c r="L255" s="4"/>
    </row>
    <row r="256" ht="22.5" customHeight="1">
      <c r="K256" s="8"/>
      <c r="L256" s="4"/>
    </row>
    <row r="257" ht="22.5" customHeight="1">
      <c r="K257" s="8"/>
      <c r="L257" s="4"/>
    </row>
    <row r="258" ht="22.5" customHeight="1">
      <c r="K258" s="8"/>
      <c r="L258" s="4"/>
    </row>
    <row r="259" ht="22.5" customHeight="1">
      <c r="K259" s="8"/>
      <c r="L259" s="4"/>
    </row>
    <row r="260" ht="22.5" customHeight="1">
      <c r="K260" s="8"/>
      <c r="L260" s="4"/>
    </row>
    <row r="261" ht="22.5" customHeight="1">
      <c r="K261" s="8"/>
      <c r="L261" s="4"/>
    </row>
    <row r="262" ht="22.5" customHeight="1">
      <c r="K262" s="8"/>
      <c r="L262" s="4"/>
    </row>
    <row r="263" ht="22.5" customHeight="1">
      <c r="K263" s="8"/>
      <c r="L263" s="4"/>
    </row>
    <row r="264" ht="22.5" customHeight="1">
      <c r="K264" s="8"/>
      <c r="L264" s="4"/>
    </row>
    <row r="265" ht="22.5" customHeight="1">
      <c r="K265" s="8"/>
      <c r="L265" s="4"/>
    </row>
    <row r="266" ht="22.5" customHeight="1">
      <c r="K266" s="8"/>
      <c r="L266" s="4"/>
    </row>
    <row r="267" ht="22.5" customHeight="1">
      <c r="K267" s="8"/>
      <c r="L267" s="4"/>
    </row>
    <row r="268" ht="22.5" customHeight="1">
      <c r="K268" s="8"/>
      <c r="L268" s="4"/>
    </row>
    <row r="269" ht="22.5" customHeight="1">
      <c r="K269" s="8"/>
      <c r="L269" s="4"/>
    </row>
    <row r="270" ht="22.5" customHeight="1">
      <c r="K270" s="8"/>
      <c r="L270" s="4"/>
    </row>
    <row r="271" ht="22.5" customHeight="1">
      <c r="K271" s="8"/>
      <c r="L271" s="4"/>
    </row>
    <row r="272" ht="22.5" customHeight="1">
      <c r="K272" s="8"/>
      <c r="L272" s="4"/>
    </row>
    <row r="273" ht="22.5" customHeight="1">
      <c r="K273" s="8"/>
      <c r="L273" s="4"/>
    </row>
    <row r="274" ht="22.5" customHeight="1">
      <c r="K274" s="8"/>
      <c r="L274" s="4"/>
    </row>
    <row r="275" ht="22.5" customHeight="1">
      <c r="K275" s="8"/>
      <c r="L275" s="4"/>
    </row>
    <row r="276" ht="22.5" customHeight="1">
      <c r="K276" s="8"/>
      <c r="L276" s="4"/>
    </row>
    <row r="277" ht="22.5" customHeight="1">
      <c r="K277" s="8"/>
      <c r="L277" s="4"/>
    </row>
    <row r="278" ht="22.5" customHeight="1">
      <c r="K278" s="8"/>
      <c r="L278" s="4"/>
    </row>
    <row r="279" ht="22.5" customHeight="1">
      <c r="K279" s="8"/>
      <c r="L279" s="4"/>
    </row>
    <row r="280" ht="22.5" customHeight="1">
      <c r="K280" s="8"/>
      <c r="L280" s="4"/>
    </row>
    <row r="281" ht="22.5" customHeight="1">
      <c r="K281" s="8"/>
      <c r="L281" s="4"/>
    </row>
    <row r="282" ht="22.5" customHeight="1">
      <c r="K282" s="8"/>
      <c r="L282" s="4"/>
    </row>
    <row r="283" ht="22.5" customHeight="1">
      <c r="K283" s="8"/>
      <c r="L283" s="4"/>
    </row>
    <row r="284" ht="22.5" customHeight="1">
      <c r="K284" s="8"/>
      <c r="L284" s="4"/>
    </row>
    <row r="285" ht="22.5" customHeight="1">
      <c r="K285" s="8"/>
      <c r="L285" s="4"/>
    </row>
    <row r="286" ht="22.5" customHeight="1">
      <c r="K286" s="8"/>
      <c r="L286" s="4"/>
    </row>
    <row r="287" ht="22.5" customHeight="1">
      <c r="K287" s="8"/>
      <c r="L287" s="4"/>
    </row>
    <row r="288" ht="22.5" customHeight="1">
      <c r="K288" s="8"/>
      <c r="L288" s="4"/>
    </row>
    <row r="289" ht="22.5" customHeight="1">
      <c r="K289" s="8"/>
      <c r="L289" s="4"/>
    </row>
    <row r="290" ht="22.5" customHeight="1">
      <c r="K290" s="8"/>
      <c r="L290" s="4"/>
    </row>
    <row r="291" ht="22.5" customHeight="1">
      <c r="K291" s="8"/>
      <c r="L291" s="4"/>
    </row>
    <row r="292" ht="22.5" customHeight="1">
      <c r="K292" s="8"/>
      <c r="L292" s="4"/>
    </row>
    <row r="293" ht="22.5" customHeight="1">
      <c r="K293" s="8"/>
      <c r="L293" s="4"/>
    </row>
    <row r="294" ht="22.5" customHeight="1">
      <c r="K294" s="8"/>
      <c r="L294" s="4"/>
    </row>
    <row r="295" ht="22.5" customHeight="1">
      <c r="K295" s="8"/>
      <c r="L295" s="4"/>
    </row>
    <row r="296" ht="22.5" customHeight="1">
      <c r="K296" s="8"/>
      <c r="L296" s="4"/>
    </row>
    <row r="297" ht="22.5" customHeight="1">
      <c r="K297" s="8"/>
      <c r="L297" s="4"/>
    </row>
    <row r="298" ht="22.5" customHeight="1">
      <c r="K298" s="8"/>
      <c r="L298" s="4"/>
    </row>
    <row r="299" ht="22.5" customHeight="1">
      <c r="K299" s="8"/>
      <c r="L299" s="4"/>
    </row>
    <row r="300" ht="22.5" customHeight="1">
      <c r="K300" s="8"/>
      <c r="L300" s="4"/>
    </row>
    <row r="301" ht="22.5" customHeight="1">
      <c r="K301" s="8"/>
      <c r="L301" s="4"/>
    </row>
    <row r="302" ht="22.5" customHeight="1">
      <c r="K302" s="8"/>
      <c r="L302" s="4"/>
    </row>
    <row r="303" ht="22.5" customHeight="1">
      <c r="K303" s="8"/>
      <c r="L303" s="4"/>
    </row>
    <row r="304" ht="22.5" customHeight="1">
      <c r="K304" s="8"/>
      <c r="L304" s="4"/>
    </row>
    <row r="305" ht="22.5" customHeight="1">
      <c r="K305" s="8"/>
      <c r="L305" s="4"/>
    </row>
    <row r="306" ht="22.5" customHeight="1">
      <c r="K306" s="8"/>
      <c r="L306" s="4"/>
    </row>
    <row r="307" ht="22.5" customHeight="1">
      <c r="K307" s="8"/>
      <c r="L307" s="4"/>
    </row>
    <row r="308" ht="22.5" customHeight="1">
      <c r="K308" s="8"/>
      <c r="L308" s="4"/>
    </row>
    <row r="309" ht="22.5" customHeight="1">
      <c r="K309" s="8"/>
      <c r="L309" s="4"/>
    </row>
    <row r="310" ht="22.5" customHeight="1">
      <c r="K310" s="8"/>
      <c r="L310" s="4"/>
    </row>
    <row r="311" ht="22.5" customHeight="1">
      <c r="K311" s="8"/>
      <c r="L311" s="4"/>
    </row>
    <row r="312" ht="22.5" customHeight="1">
      <c r="K312" s="8"/>
      <c r="L312" s="4"/>
    </row>
    <row r="313" ht="22.5" customHeight="1">
      <c r="K313" s="8"/>
      <c r="L313" s="4"/>
    </row>
    <row r="314" ht="22.5" customHeight="1">
      <c r="K314" s="8"/>
      <c r="L314" s="4"/>
    </row>
    <row r="315" ht="22.5" customHeight="1">
      <c r="K315" s="8"/>
      <c r="L315" s="4"/>
    </row>
    <row r="316" ht="22.5" customHeight="1">
      <c r="K316" s="8"/>
      <c r="L316" s="4"/>
    </row>
    <row r="317" ht="22.5" customHeight="1">
      <c r="K317" s="8"/>
      <c r="L317" s="4"/>
    </row>
    <row r="318" ht="22.5" customHeight="1">
      <c r="K318" s="8"/>
      <c r="L318" s="4"/>
    </row>
    <row r="319" ht="22.5" customHeight="1">
      <c r="K319" s="8"/>
      <c r="L319" s="4"/>
    </row>
    <row r="320" ht="22.5" customHeight="1">
      <c r="K320" s="8"/>
      <c r="L320" s="4"/>
    </row>
    <row r="321" ht="22.5" customHeight="1">
      <c r="K321" s="8"/>
      <c r="L321" s="4"/>
    </row>
    <row r="322" ht="22.5" customHeight="1">
      <c r="K322" s="8"/>
      <c r="L322" s="4"/>
    </row>
    <row r="323" ht="22.5" customHeight="1">
      <c r="K323" s="8"/>
      <c r="L323" s="4"/>
    </row>
    <row r="324" ht="22.5" customHeight="1">
      <c r="K324" s="8"/>
      <c r="L324" s="4"/>
    </row>
    <row r="325" ht="22.5" customHeight="1">
      <c r="K325" s="8"/>
      <c r="L325" s="4"/>
    </row>
    <row r="326" ht="22.5" customHeight="1">
      <c r="K326" s="8"/>
      <c r="L326" s="4"/>
    </row>
    <row r="327" ht="22.5" customHeight="1">
      <c r="K327" s="8"/>
      <c r="L327" s="4"/>
    </row>
    <row r="328" ht="22.5" customHeight="1">
      <c r="K328" s="8"/>
      <c r="L328" s="4"/>
    </row>
    <row r="329" ht="22.5" customHeight="1">
      <c r="K329" s="8"/>
      <c r="L329" s="4"/>
    </row>
    <row r="330" ht="22.5" customHeight="1">
      <c r="K330" s="8"/>
      <c r="L330" s="4"/>
    </row>
    <row r="331" ht="22.5" customHeight="1">
      <c r="K331" s="8"/>
      <c r="L331" s="4"/>
    </row>
    <row r="332" ht="22.5" customHeight="1">
      <c r="K332" s="8"/>
      <c r="L332" s="4"/>
    </row>
    <row r="333" ht="22.5" customHeight="1">
      <c r="K333" s="8"/>
      <c r="L333" s="4"/>
    </row>
    <row r="334" ht="22.5" customHeight="1">
      <c r="K334" s="8"/>
      <c r="L334" s="4"/>
    </row>
    <row r="335" ht="22.5" customHeight="1">
      <c r="K335" s="8"/>
      <c r="L335" s="4"/>
    </row>
    <row r="336" ht="22.5" customHeight="1">
      <c r="K336" s="8"/>
      <c r="L336" s="4"/>
    </row>
    <row r="337" ht="22.5" customHeight="1">
      <c r="K337" s="8"/>
      <c r="L337" s="4"/>
    </row>
    <row r="338" ht="22.5" customHeight="1">
      <c r="K338" s="8"/>
      <c r="L338" s="4"/>
    </row>
    <row r="339" ht="22.5" customHeight="1">
      <c r="K339" s="8"/>
      <c r="L339" s="4"/>
    </row>
    <row r="340" ht="22.5" customHeight="1">
      <c r="K340" s="8"/>
      <c r="L340" s="4"/>
    </row>
    <row r="341" ht="22.5" customHeight="1">
      <c r="K341" s="8"/>
      <c r="L341" s="4"/>
    </row>
    <row r="342" ht="22.5" customHeight="1">
      <c r="K342" s="8"/>
      <c r="L342" s="4"/>
    </row>
    <row r="343" ht="22.5" customHeight="1">
      <c r="K343" s="8"/>
      <c r="L343" s="4"/>
    </row>
    <row r="344" ht="22.5" customHeight="1">
      <c r="K344" s="8"/>
      <c r="L344" s="4"/>
    </row>
    <row r="345" ht="22.5" customHeight="1">
      <c r="K345" s="8"/>
      <c r="L345" s="4"/>
    </row>
    <row r="346" ht="22.5" customHeight="1">
      <c r="K346" s="8"/>
      <c r="L346" s="4"/>
    </row>
    <row r="347" ht="22.5" customHeight="1">
      <c r="K347" s="8"/>
      <c r="L347" s="4"/>
    </row>
    <row r="348" ht="22.5" customHeight="1">
      <c r="K348" s="8"/>
      <c r="L348" s="4"/>
    </row>
    <row r="349" ht="22.5" customHeight="1">
      <c r="K349" s="8"/>
      <c r="L349" s="4"/>
    </row>
    <row r="350" ht="22.5" customHeight="1">
      <c r="K350" s="8"/>
      <c r="L350" s="4"/>
    </row>
    <row r="351" ht="22.5" customHeight="1">
      <c r="K351" s="8"/>
      <c r="L351" s="4"/>
    </row>
    <row r="352" ht="22.5" customHeight="1">
      <c r="K352" s="8"/>
      <c r="L352" s="4"/>
    </row>
    <row r="353" ht="22.5" customHeight="1">
      <c r="K353" s="8"/>
      <c r="L353" s="4"/>
    </row>
    <row r="354" ht="22.5" customHeight="1">
      <c r="K354" s="8"/>
      <c r="L354" s="4"/>
    </row>
    <row r="355" ht="22.5" customHeight="1">
      <c r="K355" s="8"/>
      <c r="L355" s="4"/>
    </row>
    <row r="356" ht="22.5" customHeight="1">
      <c r="K356" s="8"/>
      <c r="L356" s="4"/>
    </row>
    <row r="357" ht="22.5" customHeight="1">
      <c r="K357" s="8"/>
      <c r="L357" s="4"/>
    </row>
    <row r="358" ht="22.5" customHeight="1">
      <c r="K358" s="8"/>
      <c r="L358" s="4"/>
    </row>
    <row r="359" ht="22.5" customHeight="1">
      <c r="K359" s="8"/>
      <c r="L359" s="4"/>
    </row>
    <row r="360" ht="22.5" customHeight="1">
      <c r="K360" s="8"/>
      <c r="L360" s="4"/>
    </row>
    <row r="361" ht="22.5" customHeight="1">
      <c r="K361" s="8"/>
      <c r="L361" s="4"/>
    </row>
    <row r="362" ht="22.5" customHeight="1">
      <c r="K362" s="8"/>
      <c r="L362" s="4"/>
    </row>
    <row r="363" ht="22.5" customHeight="1">
      <c r="K363" s="8"/>
      <c r="L363" s="4"/>
    </row>
    <row r="364" ht="22.5" customHeight="1">
      <c r="K364" s="8"/>
      <c r="L364" s="4"/>
    </row>
    <row r="365" ht="22.5" customHeight="1">
      <c r="K365" s="8"/>
      <c r="L365" s="4"/>
    </row>
    <row r="366" ht="22.5" customHeight="1">
      <c r="K366" s="8"/>
      <c r="L366" s="4"/>
    </row>
    <row r="367" ht="22.5" customHeight="1">
      <c r="K367" s="8"/>
      <c r="L367" s="4"/>
    </row>
    <row r="368" ht="22.5" customHeight="1">
      <c r="K368" s="8"/>
      <c r="L368" s="4"/>
    </row>
    <row r="369" ht="22.5" customHeight="1">
      <c r="K369" s="8"/>
      <c r="L369" s="4"/>
    </row>
    <row r="370" ht="22.5" customHeight="1">
      <c r="K370" s="8"/>
      <c r="L370" s="4"/>
    </row>
    <row r="371" ht="22.5" customHeight="1">
      <c r="K371" s="8"/>
      <c r="L371" s="4"/>
    </row>
    <row r="372" ht="22.5" customHeight="1">
      <c r="K372" s="8"/>
      <c r="L372" s="4"/>
    </row>
    <row r="373" ht="22.5" customHeight="1">
      <c r="K373" s="8"/>
      <c r="L373" s="4"/>
    </row>
    <row r="374" ht="22.5" customHeight="1">
      <c r="K374" s="8"/>
      <c r="L374" s="4"/>
    </row>
    <row r="375" ht="22.5" customHeight="1">
      <c r="K375" s="8"/>
      <c r="L375" s="4"/>
    </row>
    <row r="376" ht="22.5" customHeight="1">
      <c r="K376" s="8"/>
      <c r="L376" s="4"/>
    </row>
    <row r="377" ht="22.5" customHeight="1">
      <c r="K377" s="8"/>
      <c r="L377" s="4"/>
    </row>
    <row r="378" ht="22.5" customHeight="1">
      <c r="K378" s="8"/>
      <c r="L378" s="4"/>
    </row>
    <row r="379" ht="22.5" customHeight="1">
      <c r="K379" s="8"/>
      <c r="L379" s="4"/>
    </row>
    <row r="380" ht="22.5" customHeight="1">
      <c r="K380" s="8"/>
      <c r="L380" s="4"/>
    </row>
    <row r="381" ht="22.5" customHeight="1">
      <c r="K381" s="8"/>
      <c r="L381" s="4"/>
    </row>
    <row r="382" ht="22.5" customHeight="1">
      <c r="K382" s="8"/>
      <c r="L382" s="4"/>
    </row>
    <row r="383" ht="22.5" customHeight="1">
      <c r="K383" s="8"/>
      <c r="L383" s="4"/>
    </row>
    <row r="384" ht="22.5" customHeight="1">
      <c r="K384" s="8"/>
      <c r="L384" s="4"/>
    </row>
    <row r="385" ht="22.5" customHeight="1">
      <c r="K385" s="8"/>
      <c r="L385" s="4"/>
    </row>
    <row r="386" ht="22.5" customHeight="1">
      <c r="K386" s="8"/>
      <c r="L386" s="4"/>
    </row>
    <row r="387" ht="22.5" customHeight="1">
      <c r="K387" s="8"/>
      <c r="L387" s="4"/>
    </row>
    <row r="388" ht="22.5" customHeight="1">
      <c r="K388" s="8"/>
      <c r="L388" s="4"/>
    </row>
    <row r="389" ht="22.5" customHeight="1">
      <c r="K389" s="8"/>
      <c r="L389" s="4"/>
    </row>
    <row r="390" ht="22.5" customHeight="1">
      <c r="K390" s="8"/>
      <c r="L390" s="4"/>
    </row>
    <row r="391" ht="22.5" customHeight="1">
      <c r="K391" s="8"/>
      <c r="L391" s="4"/>
    </row>
    <row r="392" ht="22.5" customHeight="1">
      <c r="K392" s="8"/>
      <c r="L392" s="4"/>
    </row>
    <row r="393" ht="22.5" customHeight="1">
      <c r="K393" s="8"/>
      <c r="L393" s="4"/>
    </row>
    <row r="394" ht="22.5" customHeight="1">
      <c r="K394" s="8"/>
      <c r="L394" s="4"/>
    </row>
    <row r="395" ht="22.5" customHeight="1">
      <c r="K395" s="8"/>
      <c r="L395" s="4"/>
    </row>
    <row r="396" ht="22.5" customHeight="1">
      <c r="K396" s="8"/>
      <c r="L396" s="4"/>
    </row>
    <row r="397" ht="22.5" customHeight="1">
      <c r="K397" s="8"/>
      <c r="L397" s="4"/>
    </row>
    <row r="398" ht="22.5" customHeight="1">
      <c r="K398" s="8"/>
      <c r="L398" s="4"/>
    </row>
    <row r="399" ht="22.5" customHeight="1">
      <c r="K399" s="8"/>
      <c r="L399" s="4"/>
    </row>
    <row r="400" ht="22.5" customHeight="1">
      <c r="K400" s="8"/>
      <c r="L400" s="4"/>
    </row>
    <row r="401" ht="22.5" customHeight="1">
      <c r="K401" s="8"/>
      <c r="L401" s="4"/>
    </row>
    <row r="402" ht="22.5" customHeight="1">
      <c r="K402" s="8"/>
      <c r="L402" s="4"/>
    </row>
    <row r="403" ht="22.5" customHeight="1">
      <c r="K403" s="8"/>
      <c r="L403" s="4"/>
    </row>
    <row r="404" ht="22.5" customHeight="1">
      <c r="K404" s="8"/>
      <c r="L404" s="4"/>
    </row>
    <row r="405" ht="22.5" customHeight="1">
      <c r="K405" s="8"/>
      <c r="L405" s="4"/>
    </row>
    <row r="406" ht="22.5" customHeight="1">
      <c r="K406" s="8"/>
      <c r="L406" s="4"/>
    </row>
    <row r="407" ht="22.5" customHeight="1">
      <c r="K407" s="8"/>
      <c r="L407" s="4"/>
    </row>
    <row r="408" ht="22.5" customHeight="1">
      <c r="K408" s="8"/>
      <c r="L408" s="4"/>
    </row>
    <row r="409" ht="22.5" customHeight="1">
      <c r="K409" s="8"/>
      <c r="L409" s="4"/>
    </row>
    <row r="410" ht="22.5" customHeight="1">
      <c r="K410" s="8"/>
      <c r="L410" s="4"/>
    </row>
    <row r="411" ht="22.5" customHeight="1">
      <c r="K411" s="8"/>
      <c r="L411" s="4"/>
    </row>
    <row r="412" ht="22.5" customHeight="1">
      <c r="K412" s="8"/>
      <c r="L412" s="4"/>
    </row>
    <row r="413" ht="22.5" customHeight="1">
      <c r="K413" s="8"/>
      <c r="L413" s="4"/>
    </row>
    <row r="414" ht="22.5" customHeight="1">
      <c r="K414" s="8"/>
      <c r="L414" s="4"/>
    </row>
    <row r="415" ht="22.5" customHeight="1">
      <c r="K415" s="8"/>
      <c r="L415" s="4"/>
    </row>
    <row r="416" ht="22.5" customHeight="1">
      <c r="K416" s="8"/>
      <c r="L416" s="4"/>
    </row>
    <row r="417" ht="22.5" customHeight="1">
      <c r="K417" s="8"/>
      <c r="L417" s="4"/>
    </row>
    <row r="418" ht="22.5" customHeight="1">
      <c r="K418" s="8"/>
      <c r="L418" s="4"/>
    </row>
    <row r="419" ht="22.5" customHeight="1">
      <c r="K419" s="8"/>
      <c r="L419" s="4"/>
    </row>
    <row r="420" ht="22.5" customHeight="1">
      <c r="K420" s="8"/>
      <c r="L420" s="4"/>
    </row>
    <row r="421" ht="22.5" customHeight="1">
      <c r="K421" s="8"/>
      <c r="L421" s="4"/>
    </row>
    <row r="422" ht="22.5" customHeight="1">
      <c r="K422" s="8"/>
      <c r="L422" s="4"/>
    </row>
    <row r="423" ht="22.5" customHeight="1">
      <c r="K423" s="8"/>
      <c r="L423" s="4"/>
    </row>
    <row r="424" ht="22.5" customHeight="1">
      <c r="K424" s="8"/>
      <c r="L424" s="4"/>
    </row>
    <row r="425" ht="22.5" customHeight="1">
      <c r="K425" s="8"/>
      <c r="L425" s="4"/>
    </row>
    <row r="426" ht="22.5" customHeight="1">
      <c r="K426" s="8"/>
      <c r="L426" s="4"/>
    </row>
    <row r="427" ht="22.5" customHeight="1">
      <c r="K427" s="8"/>
      <c r="L427" s="4"/>
    </row>
    <row r="428" ht="22.5" customHeight="1">
      <c r="K428" s="8"/>
      <c r="L428" s="4"/>
    </row>
    <row r="429" ht="22.5" customHeight="1">
      <c r="K429" s="8"/>
      <c r="L429" s="4"/>
    </row>
    <row r="430" ht="22.5" customHeight="1">
      <c r="K430" s="8"/>
      <c r="L430" s="4"/>
    </row>
    <row r="431" ht="22.5" customHeight="1">
      <c r="K431" s="8"/>
      <c r="L431" s="4"/>
    </row>
    <row r="432" ht="22.5" customHeight="1">
      <c r="K432" s="8"/>
      <c r="L432" s="4"/>
    </row>
    <row r="433" ht="22.5" customHeight="1">
      <c r="K433" s="8"/>
      <c r="L433" s="4"/>
    </row>
    <row r="434" ht="22.5" customHeight="1">
      <c r="K434" s="8"/>
      <c r="L434" s="4"/>
    </row>
    <row r="435" ht="22.5" customHeight="1">
      <c r="K435" s="8"/>
      <c r="L435" s="4"/>
    </row>
    <row r="436" ht="22.5" customHeight="1">
      <c r="K436" s="8"/>
      <c r="L436" s="4"/>
    </row>
    <row r="437" ht="22.5" customHeight="1">
      <c r="K437" s="8"/>
      <c r="L437" s="4"/>
    </row>
    <row r="438" ht="22.5" customHeight="1">
      <c r="K438" s="8"/>
      <c r="L438" s="4"/>
    </row>
    <row r="439" ht="22.5" customHeight="1">
      <c r="K439" s="8"/>
      <c r="L439" s="4"/>
    </row>
    <row r="440" ht="22.5" customHeight="1">
      <c r="K440" s="8"/>
      <c r="L440" s="4"/>
    </row>
    <row r="441" ht="22.5" customHeight="1">
      <c r="K441" s="8"/>
      <c r="L441" s="4"/>
    </row>
    <row r="442" ht="22.5" customHeight="1">
      <c r="K442" s="8"/>
      <c r="L442" s="4"/>
    </row>
    <row r="443" ht="22.5" customHeight="1">
      <c r="K443" s="8"/>
      <c r="L443" s="4"/>
    </row>
    <row r="444" ht="22.5" customHeight="1">
      <c r="K444" s="8"/>
      <c r="L444" s="4"/>
    </row>
    <row r="445" ht="22.5" customHeight="1">
      <c r="K445" s="8"/>
      <c r="L445" s="4"/>
    </row>
    <row r="446" ht="22.5" customHeight="1">
      <c r="K446" s="8"/>
      <c r="L446" s="4"/>
    </row>
    <row r="447" ht="22.5" customHeight="1">
      <c r="K447" s="8"/>
      <c r="L447" s="4"/>
    </row>
    <row r="448" ht="22.5" customHeight="1">
      <c r="K448" s="8"/>
      <c r="L448" s="4"/>
    </row>
    <row r="449" ht="22.5" customHeight="1">
      <c r="K449" s="8"/>
      <c r="L449" s="4"/>
    </row>
    <row r="450" ht="22.5" customHeight="1">
      <c r="K450" s="8"/>
      <c r="L450" s="4"/>
    </row>
    <row r="451" ht="22.5" customHeight="1">
      <c r="K451" s="8"/>
      <c r="L451" s="4"/>
    </row>
    <row r="452" ht="22.5" customHeight="1">
      <c r="K452" s="8"/>
      <c r="L452" s="4"/>
    </row>
    <row r="453" ht="22.5" customHeight="1">
      <c r="K453" s="8"/>
      <c r="L453" s="4"/>
    </row>
    <row r="454" ht="22.5" customHeight="1">
      <c r="K454" s="8"/>
      <c r="L454" s="4"/>
    </row>
    <row r="455" ht="22.5" customHeight="1">
      <c r="K455" s="8"/>
      <c r="L455" s="4"/>
    </row>
    <row r="456" ht="22.5" customHeight="1">
      <c r="K456" s="8"/>
      <c r="L456" s="4"/>
    </row>
    <row r="457" ht="22.5" customHeight="1">
      <c r="K457" s="8"/>
      <c r="L457" s="4"/>
    </row>
    <row r="458" ht="22.5" customHeight="1">
      <c r="K458" s="8"/>
      <c r="L458" s="4"/>
    </row>
    <row r="459" ht="22.5" customHeight="1">
      <c r="K459" s="8"/>
      <c r="L459" s="4"/>
    </row>
    <row r="460" ht="22.5" customHeight="1">
      <c r="K460" s="8"/>
      <c r="L460" s="4"/>
    </row>
    <row r="461" ht="22.5" customHeight="1">
      <c r="K461" s="8"/>
      <c r="L461" s="4"/>
    </row>
    <row r="462" ht="22.5" customHeight="1">
      <c r="K462" s="8"/>
      <c r="L462" s="4"/>
    </row>
    <row r="463" ht="22.5" customHeight="1">
      <c r="K463" s="8"/>
      <c r="L463" s="4"/>
    </row>
    <row r="464" ht="22.5" customHeight="1">
      <c r="K464" s="8"/>
      <c r="L464" s="4"/>
    </row>
    <row r="465" ht="22.5" customHeight="1">
      <c r="K465" s="8"/>
      <c r="L465" s="4"/>
    </row>
    <row r="466" ht="22.5" customHeight="1">
      <c r="K466" s="8"/>
      <c r="L466" s="4"/>
    </row>
    <row r="467" ht="22.5" customHeight="1">
      <c r="K467" s="8"/>
      <c r="L467" s="4"/>
    </row>
    <row r="468" ht="22.5" customHeight="1">
      <c r="K468" s="8"/>
      <c r="L468" s="4"/>
    </row>
    <row r="469" ht="22.5" customHeight="1">
      <c r="K469" s="8"/>
      <c r="L469" s="4"/>
    </row>
    <row r="470" ht="22.5" customHeight="1">
      <c r="K470" s="8"/>
      <c r="L470" s="4"/>
    </row>
    <row r="471" ht="22.5" customHeight="1">
      <c r="K471" s="8"/>
      <c r="L471" s="4"/>
    </row>
    <row r="472" ht="22.5" customHeight="1">
      <c r="K472" s="8"/>
      <c r="L472" s="4"/>
    </row>
    <row r="473" ht="22.5" customHeight="1">
      <c r="K473" s="8"/>
      <c r="L473" s="4"/>
    </row>
    <row r="474" ht="22.5" customHeight="1">
      <c r="K474" s="8"/>
      <c r="L474" s="4"/>
    </row>
    <row r="475" ht="22.5" customHeight="1">
      <c r="K475" s="8"/>
      <c r="L475" s="4"/>
    </row>
    <row r="476" ht="22.5" customHeight="1">
      <c r="K476" s="8"/>
      <c r="L476" s="4"/>
    </row>
    <row r="477" ht="22.5" customHeight="1">
      <c r="K477" s="8"/>
      <c r="L477" s="4"/>
    </row>
    <row r="478" ht="22.5" customHeight="1">
      <c r="K478" s="8"/>
      <c r="L478" s="4"/>
    </row>
    <row r="479" ht="22.5" customHeight="1">
      <c r="K479" s="8"/>
      <c r="L479" s="4"/>
    </row>
    <row r="480" ht="22.5" customHeight="1">
      <c r="K480" s="8"/>
      <c r="L480" s="4"/>
    </row>
    <row r="481" ht="22.5" customHeight="1">
      <c r="K481" s="8"/>
      <c r="L481" s="4"/>
    </row>
    <row r="482" ht="22.5" customHeight="1">
      <c r="K482" s="8"/>
      <c r="L482" s="4"/>
    </row>
    <row r="483" ht="22.5" customHeight="1">
      <c r="K483" s="8"/>
      <c r="L483" s="4"/>
    </row>
    <row r="484" ht="22.5" customHeight="1">
      <c r="K484" s="8"/>
      <c r="L484" s="4"/>
    </row>
    <row r="485" ht="22.5" customHeight="1">
      <c r="K485" s="8"/>
      <c r="L485" s="4"/>
    </row>
    <row r="486" ht="22.5" customHeight="1">
      <c r="K486" s="8"/>
      <c r="L486" s="4"/>
    </row>
    <row r="487" ht="22.5" customHeight="1">
      <c r="K487" s="8"/>
      <c r="L487" s="4"/>
    </row>
    <row r="488" ht="22.5" customHeight="1">
      <c r="K488" s="8"/>
      <c r="L488" s="4"/>
    </row>
    <row r="489" ht="22.5" customHeight="1">
      <c r="K489" s="8"/>
      <c r="L489" s="4"/>
    </row>
    <row r="490" ht="22.5" customHeight="1">
      <c r="K490" s="8"/>
      <c r="L490" s="4"/>
    </row>
    <row r="491" ht="22.5" customHeight="1">
      <c r="K491" s="8"/>
      <c r="L491" s="4"/>
    </row>
    <row r="492" ht="22.5" customHeight="1">
      <c r="K492" s="8"/>
      <c r="L492" s="4"/>
    </row>
    <row r="493" ht="22.5" customHeight="1">
      <c r="K493" s="8"/>
      <c r="L493" s="4"/>
    </row>
    <row r="494" ht="22.5" customHeight="1">
      <c r="K494" s="8"/>
      <c r="L494" s="4"/>
    </row>
    <row r="495" ht="22.5" customHeight="1">
      <c r="K495" s="8"/>
      <c r="L495" s="4"/>
    </row>
    <row r="496" ht="22.5" customHeight="1">
      <c r="K496" s="8"/>
      <c r="L496" s="4"/>
    </row>
    <row r="497" ht="22.5" customHeight="1">
      <c r="K497" s="8"/>
      <c r="L497" s="4"/>
    </row>
    <row r="498" ht="22.5" customHeight="1">
      <c r="K498" s="8"/>
      <c r="L498" s="4"/>
    </row>
    <row r="499" ht="22.5" customHeight="1">
      <c r="K499" s="8"/>
      <c r="L499" s="4"/>
    </row>
    <row r="500" ht="22.5" customHeight="1">
      <c r="K500" s="8"/>
      <c r="L500" s="4"/>
    </row>
    <row r="501" ht="22.5" customHeight="1">
      <c r="K501" s="8"/>
      <c r="L501" s="4"/>
    </row>
    <row r="502" ht="22.5" customHeight="1">
      <c r="K502" s="8"/>
      <c r="L502" s="4"/>
    </row>
    <row r="503" ht="22.5" customHeight="1">
      <c r="K503" s="8"/>
      <c r="L503" s="4"/>
    </row>
    <row r="504" ht="22.5" customHeight="1">
      <c r="K504" s="8"/>
      <c r="L504" s="4"/>
    </row>
    <row r="505" ht="22.5" customHeight="1">
      <c r="K505" s="8"/>
      <c r="L505" s="4"/>
    </row>
    <row r="506" ht="22.5" customHeight="1">
      <c r="K506" s="8"/>
      <c r="L506" s="4"/>
    </row>
    <row r="507" ht="22.5" customHeight="1">
      <c r="K507" s="8"/>
      <c r="L507" s="4"/>
    </row>
    <row r="508" ht="22.5" customHeight="1">
      <c r="K508" s="8"/>
      <c r="L508" s="4"/>
    </row>
    <row r="509" ht="22.5" customHeight="1">
      <c r="K509" s="8"/>
      <c r="L509" s="4"/>
    </row>
    <row r="510" ht="22.5" customHeight="1">
      <c r="K510" s="8"/>
      <c r="L510" s="4"/>
    </row>
    <row r="511" ht="22.5" customHeight="1">
      <c r="K511" s="8"/>
      <c r="L511" s="4"/>
    </row>
    <row r="512" ht="22.5" customHeight="1">
      <c r="K512" s="8"/>
      <c r="L512" s="4"/>
    </row>
    <row r="513" ht="22.5" customHeight="1">
      <c r="K513" s="8"/>
      <c r="L513" s="4"/>
    </row>
    <row r="514" ht="22.5" customHeight="1">
      <c r="K514" s="8"/>
      <c r="L514" s="4"/>
    </row>
    <row r="515" ht="22.5" customHeight="1">
      <c r="K515" s="8"/>
      <c r="L515" s="4"/>
    </row>
    <row r="516" ht="22.5" customHeight="1">
      <c r="K516" s="8"/>
      <c r="L516" s="4"/>
    </row>
    <row r="517" ht="22.5" customHeight="1">
      <c r="K517" s="8"/>
      <c r="L517" s="4"/>
    </row>
    <row r="518" ht="22.5" customHeight="1">
      <c r="K518" s="8"/>
      <c r="L518" s="4"/>
    </row>
    <row r="519" ht="22.5" customHeight="1">
      <c r="K519" s="8"/>
      <c r="L519" s="4"/>
    </row>
    <row r="520" ht="22.5" customHeight="1">
      <c r="K520" s="8"/>
      <c r="L520" s="4"/>
    </row>
    <row r="521" ht="22.5" customHeight="1">
      <c r="K521" s="8"/>
      <c r="L521" s="4"/>
    </row>
    <row r="522" ht="22.5" customHeight="1">
      <c r="K522" s="8"/>
      <c r="L522" s="4"/>
    </row>
    <row r="523" ht="22.5" customHeight="1">
      <c r="K523" s="8"/>
      <c r="L523" s="4"/>
    </row>
    <row r="524" ht="22.5" customHeight="1">
      <c r="K524" s="8"/>
      <c r="L524" s="4"/>
    </row>
    <row r="525" ht="22.5" customHeight="1">
      <c r="K525" s="8"/>
      <c r="L525" s="4"/>
    </row>
    <row r="526" ht="22.5" customHeight="1">
      <c r="K526" s="8"/>
      <c r="L526" s="4"/>
    </row>
    <row r="527" ht="22.5" customHeight="1">
      <c r="K527" s="8"/>
      <c r="L527" s="4"/>
    </row>
    <row r="528" ht="22.5" customHeight="1">
      <c r="K528" s="8"/>
      <c r="L528" s="4"/>
    </row>
    <row r="529" ht="22.5" customHeight="1">
      <c r="K529" s="8"/>
      <c r="L529" s="4"/>
    </row>
    <row r="530" ht="22.5" customHeight="1">
      <c r="K530" s="8"/>
      <c r="L530" s="4"/>
    </row>
    <row r="531" ht="22.5" customHeight="1">
      <c r="K531" s="8"/>
      <c r="L531" s="4"/>
    </row>
    <row r="532" ht="22.5" customHeight="1">
      <c r="K532" s="8"/>
      <c r="L532" s="4"/>
    </row>
    <row r="533" ht="22.5" customHeight="1">
      <c r="K533" s="8"/>
      <c r="L533" s="4"/>
    </row>
    <row r="534" ht="22.5" customHeight="1">
      <c r="K534" s="8"/>
      <c r="L534" s="4"/>
    </row>
    <row r="535" ht="22.5" customHeight="1">
      <c r="K535" s="8"/>
      <c r="L535" s="4"/>
    </row>
    <row r="536" ht="22.5" customHeight="1">
      <c r="K536" s="8"/>
      <c r="L536" s="4"/>
    </row>
    <row r="537" ht="22.5" customHeight="1">
      <c r="K537" s="8"/>
      <c r="L537" s="4"/>
    </row>
    <row r="538" ht="22.5" customHeight="1">
      <c r="K538" s="8"/>
      <c r="L538" s="4"/>
    </row>
    <row r="539" ht="22.5" customHeight="1">
      <c r="K539" s="8"/>
      <c r="L539" s="4"/>
    </row>
    <row r="540" ht="22.5" customHeight="1">
      <c r="K540" s="8"/>
      <c r="L540" s="4"/>
    </row>
    <row r="541" ht="22.5" customHeight="1">
      <c r="K541" s="8"/>
      <c r="L541" s="4"/>
    </row>
    <row r="542" ht="22.5" customHeight="1">
      <c r="K542" s="8"/>
      <c r="L542" s="4"/>
    </row>
    <row r="543" ht="22.5" customHeight="1">
      <c r="K543" s="8"/>
      <c r="L543" s="4"/>
    </row>
    <row r="544" ht="22.5" customHeight="1">
      <c r="K544" s="8"/>
      <c r="L544" s="4"/>
    </row>
    <row r="545" ht="22.5" customHeight="1">
      <c r="K545" s="8"/>
      <c r="L545" s="4"/>
    </row>
    <row r="546" ht="22.5" customHeight="1">
      <c r="K546" s="8"/>
      <c r="L546" s="4"/>
    </row>
    <row r="547" ht="22.5" customHeight="1">
      <c r="K547" s="8"/>
      <c r="L547" s="4"/>
    </row>
    <row r="548" ht="22.5" customHeight="1">
      <c r="K548" s="8"/>
      <c r="L548" s="4"/>
    </row>
    <row r="549" ht="22.5" customHeight="1">
      <c r="K549" s="8"/>
      <c r="L549" s="4"/>
    </row>
    <row r="550" ht="22.5" customHeight="1">
      <c r="K550" s="8"/>
      <c r="L550" s="4"/>
    </row>
    <row r="551" ht="22.5" customHeight="1">
      <c r="K551" s="8"/>
      <c r="L551" s="4"/>
    </row>
    <row r="552" ht="22.5" customHeight="1">
      <c r="K552" s="8"/>
      <c r="L552" s="4"/>
    </row>
    <row r="553" ht="22.5" customHeight="1">
      <c r="K553" s="8"/>
      <c r="L553" s="4"/>
    </row>
    <row r="554" ht="22.5" customHeight="1">
      <c r="K554" s="8"/>
      <c r="L554" s="4"/>
    </row>
    <row r="555" ht="22.5" customHeight="1">
      <c r="K555" s="8"/>
      <c r="L555" s="4"/>
    </row>
    <row r="556" ht="22.5" customHeight="1">
      <c r="K556" s="8"/>
      <c r="L556" s="4"/>
    </row>
    <row r="557" ht="22.5" customHeight="1">
      <c r="K557" s="8"/>
      <c r="L557" s="4"/>
    </row>
    <row r="558" ht="22.5" customHeight="1">
      <c r="K558" s="8"/>
      <c r="L558" s="4"/>
    </row>
    <row r="559" ht="22.5" customHeight="1">
      <c r="K559" s="8"/>
      <c r="L559" s="4"/>
    </row>
    <row r="560" ht="22.5" customHeight="1">
      <c r="K560" s="8"/>
      <c r="L560" s="4"/>
    </row>
    <row r="561" ht="22.5" customHeight="1">
      <c r="K561" s="8"/>
      <c r="L561" s="4"/>
    </row>
    <row r="562" ht="22.5" customHeight="1">
      <c r="K562" s="8"/>
      <c r="L562" s="4"/>
    </row>
    <row r="563" ht="22.5" customHeight="1">
      <c r="K563" s="8"/>
      <c r="L563" s="4"/>
    </row>
    <row r="564" ht="22.5" customHeight="1">
      <c r="K564" s="8"/>
      <c r="L564" s="4"/>
    </row>
    <row r="565" ht="22.5" customHeight="1">
      <c r="K565" s="8"/>
      <c r="L565" s="4"/>
    </row>
    <row r="566" ht="22.5" customHeight="1">
      <c r="K566" s="8"/>
      <c r="L566" s="4"/>
    </row>
    <row r="567" ht="22.5" customHeight="1">
      <c r="K567" s="8"/>
      <c r="L567" s="4"/>
    </row>
    <row r="568" ht="22.5" customHeight="1">
      <c r="K568" s="8"/>
      <c r="L568" s="4"/>
    </row>
    <row r="569" ht="22.5" customHeight="1">
      <c r="K569" s="8"/>
      <c r="L569" s="4"/>
    </row>
    <row r="570" ht="22.5" customHeight="1">
      <c r="K570" s="8"/>
      <c r="L570" s="4"/>
    </row>
    <row r="571" ht="22.5" customHeight="1">
      <c r="K571" s="8"/>
      <c r="L571" s="4"/>
    </row>
    <row r="572" ht="22.5" customHeight="1">
      <c r="K572" s="8"/>
      <c r="L572" s="4"/>
    </row>
    <row r="573" ht="22.5" customHeight="1">
      <c r="K573" s="8"/>
      <c r="L573" s="4"/>
    </row>
    <row r="574" ht="22.5" customHeight="1">
      <c r="K574" s="8"/>
      <c r="L574" s="4"/>
    </row>
    <row r="575" ht="22.5" customHeight="1">
      <c r="K575" s="8"/>
      <c r="L575" s="4"/>
    </row>
    <row r="576" ht="22.5" customHeight="1">
      <c r="K576" s="8"/>
      <c r="L576" s="4"/>
    </row>
    <row r="577" ht="22.5" customHeight="1">
      <c r="K577" s="8"/>
      <c r="L577" s="4"/>
    </row>
    <row r="578" ht="22.5" customHeight="1">
      <c r="K578" s="8"/>
      <c r="L578" s="4"/>
    </row>
    <row r="579" ht="22.5" customHeight="1">
      <c r="K579" s="8"/>
      <c r="L579" s="4"/>
    </row>
    <row r="580" ht="22.5" customHeight="1">
      <c r="K580" s="8"/>
      <c r="L580" s="4"/>
    </row>
    <row r="581" ht="22.5" customHeight="1">
      <c r="K581" s="8"/>
      <c r="L581" s="4"/>
    </row>
    <row r="582" ht="22.5" customHeight="1">
      <c r="K582" s="8"/>
      <c r="L582" s="4"/>
    </row>
    <row r="583" ht="22.5" customHeight="1">
      <c r="K583" s="8"/>
      <c r="L583" s="4"/>
    </row>
    <row r="584" ht="22.5" customHeight="1">
      <c r="K584" s="8"/>
      <c r="L584" s="4"/>
    </row>
    <row r="585" ht="22.5" customHeight="1">
      <c r="K585" s="8"/>
      <c r="L585" s="4"/>
    </row>
    <row r="586" ht="22.5" customHeight="1">
      <c r="K586" s="8"/>
      <c r="L586" s="4"/>
    </row>
    <row r="587" ht="22.5" customHeight="1">
      <c r="K587" s="8"/>
      <c r="L587" s="4"/>
    </row>
    <row r="588" ht="22.5" customHeight="1">
      <c r="K588" s="8"/>
      <c r="L588" s="4"/>
    </row>
    <row r="589" ht="22.5" customHeight="1">
      <c r="K589" s="8"/>
      <c r="L589" s="4"/>
    </row>
    <row r="590" ht="22.5" customHeight="1">
      <c r="K590" s="8"/>
      <c r="L590" s="4"/>
    </row>
    <row r="591" ht="22.5" customHeight="1">
      <c r="K591" s="8"/>
      <c r="L591" s="4"/>
    </row>
    <row r="592" ht="22.5" customHeight="1">
      <c r="K592" s="8"/>
      <c r="L592" s="4"/>
    </row>
    <row r="593" ht="22.5" customHeight="1">
      <c r="K593" s="8"/>
      <c r="L593" s="4"/>
    </row>
    <row r="594" ht="22.5" customHeight="1">
      <c r="K594" s="8"/>
      <c r="L594" s="4"/>
    </row>
    <row r="595" ht="22.5" customHeight="1">
      <c r="K595" s="8"/>
      <c r="L595" s="4"/>
    </row>
    <row r="596" ht="22.5" customHeight="1">
      <c r="K596" s="8"/>
      <c r="L596" s="4"/>
    </row>
    <row r="597" ht="22.5" customHeight="1">
      <c r="K597" s="8"/>
      <c r="L597" s="4"/>
    </row>
    <row r="598" ht="22.5" customHeight="1">
      <c r="K598" s="8"/>
      <c r="L598" s="4"/>
    </row>
    <row r="599" ht="22.5" customHeight="1">
      <c r="K599" s="8"/>
      <c r="L599" s="4"/>
    </row>
    <row r="600" ht="22.5" customHeight="1">
      <c r="K600" s="8"/>
      <c r="L600" s="4"/>
    </row>
    <row r="601" ht="22.5" customHeight="1">
      <c r="K601" s="8"/>
      <c r="L601" s="4"/>
    </row>
    <row r="602" ht="22.5" customHeight="1">
      <c r="K602" s="8"/>
      <c r="L602" s="4"/>
    </row>
    <row r="603" ht="22.5" customHeight="1">
      <c r="K603" s="8"/>
      <c r="L603" s="4"/>
    </row>
    <row r="604" ht="22.5" customHeight="1">
      <c r="K604" s="8"/>
      <c r="L604" s="4"/>
    </row>
    <row r="605" ht="22.5" customHeight="1">
      <c r="K605" s="8"/>
      <c r="L605" s="4"/>
    </row>
    <row r="606" ht="22.5" customHeight="1">
      <c r="K606" s="8"/>
      <c r="L606" s="4"/>
    </row>
    <row r="607" ht="22.5" customHeight="1">
      <c r="K607" s="8"/>
      <c r="L607" s="4"/>
    </row>
    <row r="608" ht="22.5" customHeight="1">
      <c r="K608" s="8"/>
      <c r="L608" s="4"/>
    </row>
    <row r="609" ht="22.5" customHeight="1">
      <c r="K609" s="8"/>
      <c r="L609" s="4"/>
    </row>
    <row r="610" ht="22.5" customHeight="1">
      <c r="K610" s="8"/>
      <c r="L610" s="4"/>
    </row>
    <row r="611" ht="22.5" customHeight="1">
      <c r="K611" s="8"/>
      <c r="L611" s="4"/>
    </row>
    <row r="612" ht="22.5" customHeight="1">
      <c r="K612" s="8"/>
      <c r="L612" s="4"/>
    </row>
    <row r="613" ht="22.5" customHeight="1">
      <c r="K613" s="8"/>
      <c r="L613" s="4"/>
    </row>
    <row r="614" ht="22.5" customHeight="1">
      <c r="K614" s="8"/>
      <c r="L614" s="4"/>
    </row>
    <row r="615" ht="22.5" customHeight="1">
      <c r="K615" s="8"/>
      <c r="L615" s="4"/>
    </row>
    <row r="616" ht="22.5" customHeight="1">
      <c r="K616" s="8"/>
      <c r="L616" s="4"/>
    </row>
    <row r="617" ht="22.5" customHeight="1">
      <c r="K617" s="8"/>
      <c r="L617" s="4"/>
    </row>
    <row r="618" ht="22.5" customHeight="1">
      <c r="K618" s="8"/>
      <c r="L618" s="4"/>
    </row>
    <row r="619" ht="22.5" customHeight="1">
      <c r="K619" s="8"/>
      <c r="L619" s="4"/>
    </row>
    <row r="620" ht="22.5" customHeight="1">
      <c r="K620" s="8"/>
      <c r="L620" s="4"/>
    </row>
    <row r="621" ht="22.5" customHeight="1">
      <c r="K621" s="8"/>
      <c r="L621" s="4"/>
    </row>
    <row r="622" ht="22.5" customHeight="1">
      <c r="K622" s="8"/>
      <c r="L622" s="4"/>
    </row>
    <row r="623" ht="22.5" customHeight="1">
      <c r="K623" s="8"/>
      <c r="L623" s="4"/>
    </row>
    <row r="624" ht="22.5" customHeight="1">
      <c r="K624" s="8"/>
      <c r="L624" s="4"/>
    </row>
    <row r="625" ht="22.5" customHeight="1">
      <c r="K625" s="8"/>
      <c r="L625" s="4"/>
    </row>
    <row r="626" ht="22.5" customHeight="1">
      <c r="K626" s="8"/>
      <c r="L626" s="4"/>
    </row>
    <row r="627" ht="22.5" customHeight="1">
      <c r="K627" s="8"/>
      <c r="L627" s="4"/>
    </row>
    <row r="628" ht="22.5" customHeight="1">
      <c r="K628" s="8"/>
      <c r="L628" s="4"/>
    </row>
    <row r="629" ht="22.5" customHeight="1">
      <c r="K629" s="8"/>
      <c r="L629" s="4"/>
    </row>
    <row r="630" ht="22.5" customHeight="1">
      <c r="K630" s="8"/>
      <c r="L630" s="4"/>
    </row>
    <row r="631" ht="22.5" customHeight="1">
      <c r="K631" s="8"/>
      <c r="L631" s="4"/>
    </row>
    <row r="632" ht="22.5" customHeight="1">
      <c r="K632" s="8"/>
      <c r="L632" s="4"/>
    </row>
    <row r="633" ht="22.5" customHeight="1">
      <c r="K633" s="8"/>
      <c r="L633" s="4"/>
    </row>
    <row r="634" ht="22.5" customHeight="1">
      <c r="K634" s="8"/>
      <c r="L634" s="4"/>
    </row>
    <row r="635" ht="22.5" customHeight="1">
      <c r="K635" s="8"/>
      <c r="L635" s="4"/>
    </row>
    <row r="636" ht="22.5" customHeight="1">
      <c r="K636" s="8"/>
      <c r="L636" s="4"/>
    </row>
    <row r="637" ht="22.5" customHeight="1">
      <c r="K637" s="8"/>
      <c r="L637" s="4"/>
    </row>
    <row r="638" ht="22.5" customHeight="1">
      <c r="K638" s="8"/>
      <c r="L638" s="4"/>
    </row>
    <row r="639" ht="22.5" customHeight="1">
      <c r="K639" s="8"/>
      <c r="L639" s="4"/>
    </row>
    <row r="640" ht="22.5" customHeight="1">
      <c r="K640" s="8"/>
      <c r="L640" s="4"/>
    </row>
    <row r="641" ht="22.5" customHeight="1">
      <c r="K641" s="8"/>
      <c r="L641" s="4"/>
    </row>
    <row r="642" ht="22.5" customHeight="1">
      <c r="K642" s="8"/>
      <c r="L642" s="4"/>
    </row>
    <row r="643" ht="22.5" customHeight="1">
      <c r="K643" s="8"/>
      <c r="L643" s="4"/>
    </row>
    <row r="644" ht="22.5" customHeight="1">
      <c r="K644" s="8"/>
      <c r="L644" s="4"/>
    </row>
    <row r="645" ht="22.5" customHeight="1">
      <c r="K645" s="8"/>
      <c r="L645" s="4"/>
    </row>
    <row r="646" ht="22.5" customHeight="1">
      <c r="K646" s="8"/>
      <c r="L646" s="4"/>
    </row>
    <row r="647" ht="22.5" customHeight="1">
      <c r="K647" s="8"/>
      <c r="L647" s="4"/>
    </row>
    <row r="648" ht="22.5" customHeight="1">
      <c r="K648" s="8"/>
      <c r="L648" s="4"/>
    </row>
    <row r="649" ht="22.5" customHeight="1">
      <c r="K649" s="8"/>
      <c r="L649" s="4"/>
    </row>
    <row r="650" ht="22.5" customHeight="1">
      <c r="K650" s="8"/>
      <c r="L650" s="4"/>
    </row>
    <row r="651" ht="22.5" customHeight="1">
      <c r="K651" s="8"/>
      <c r="L651" s="4"/>
    </row>
    <row r="652" ht="22.5" customHeight="1">
      <c r="K652" s="8"/>
      <c r="L652" s="4"/>
    </row>
    <row r="653" ht="22.5" customHeight="1">
      <c r="K653" s="8"/>
      <c r="L653" s="4"/>
    </row>
    <row r="654" ht="22.5" customHeight="1">
      <c r="K654" s="8"/>
      <c r="L654" s="4"/>
    </row>
    <row r="655" ht="22.5" customHeight="1">
      <c r="K655" s="8"/>
      <c r="L655" s="4"/>
    </row>
    <row r="656" ht="22.5" customHeight="1">
      <c r="K656" s="8"/>
      <c r="L656" s="4"/>
    </row>
    <row r="657" ht="22.5" customHeight="1">
      <c r="K657" s="8"/>
      <c r="L657" s="4"/>
    </row>
    <row r="658" ht="22.5" customHeight="1">
      <c r="K658" s="8"/>
      <c r="L658" s="4"/>
    </row>
    <row r="659" ht="22.5" customHeight="1">
      <c r="K659" s="8"/>
      <c r="L659" s="4"/>
    </row>
    <row r="660" ht="22.5" customHeight="1">
      <c r="K660" s="8"/>
      <c r="L660" s="4"/>
    </row>
    <row r="661" ht="22.5" customHeight="1">
      <c r="K661" s="8"/>
      <c r="L661" s="4"/>
    </row>
    <row r="662" ht="22.5" customHeight="1">
      <c r="K662" s="8"/>
      <c r="L662" s="4"/>
    </row>
    <row r="663" ht="22.5" customHeight="1">
      <c r="K663" s="8"/>
      <c r="L663" s="4"/>
    </row>
    <row r="664" ht="22.5" customHeight="1">
      <c r="K664" s="8"/>
      <c r="L664" s="4"/>
    </row>
    <row r="665" ht="22.5" customHeight="1">
      <c r="K665" s="8"/>
      <c r="L665" s="4"/>
    </row>
    <row r="666" ht="22.5" customHeight="1">
      <c r="K666" s="8"/>
      <c r="L666" s="4"/>
    </row>
    <row r="667" ht="22.5" customHeight="1">
      <c r="K667" s="8"/>
      <c r="L667" s="4"/>
    </row>
    <row r="668" ht="22.5" customHeight="1">
      <c r="K668" s="8"/>
      <c r="L668" s="4"/>
    </row>
    <row r="669" ht="22.5" customHeight="1">
      <c r="K669" s="8"/>
      <c r="L669" s="4"/>
    </row>
    <row r="670" ht="22.5" customHeight="1">
      <c r="K670" s="8"/>
      <c r="L670" s="4"/>
    </row>
    <row r="671" ht="22.5" customHeight="1">
      <c r="K671" s="8"/>
      <c r="L671" s="4"/>
    </row>
    <row r="672" ht="22.5" customHeight="1">
      <c r="K672" s="8"/>
      <c r="L672" s="4"/>
    </row>
    <row r="673" ht="22.5" customHeight="1">
      <c r="K673" s="8"/>
      <c r="L673" s="4"/>
    </row>
    <row r="674" ht="22.5" customHeight="1">
      <c r="K674" s="8"/>
      <c r="L674" s="4"/>
    </row>
    <row r="675" ht="22.5" customHeight="1">
      <c r="K675" s="8"/>
      <c r="L675" s="4"/>
    </row>
    <row r="676" ht="22.5" customHeight="1">
      <c r="K676" s="8"/>
      <c r="L676" s="4"/>
    </row>
    <row r="677" ht="22.5" customHeight="1">
      <c r="K677" s="8"/>
      <c r="L677" s="4"/>
    </row>
    <row r="678" ht="22.5" customHeight="1">
      <c r="K678" s="8"/>
      <c r="L678" s="4"/>
    </row>
    <row r="679" ht="22.5" customHeight="1">
      <c r="K679" s="8"/>
      <c r="L679" s="4"/>
    </row>
    <row r="680" ht="22.5" customHeight="1">
      <c r="K680" s="8"/>
      <c r="L680" s="4"/>
    </row>
    <row r="681" ht="22.5" customHeight="1">
      <c r="K681" s="8"/>
      <c r="L681" s="4"/>
    </row>
    <row r="682" ht="22.5" customHeight="1">
      <c r="K682" s="8"/>
      <c r="L682" s="4"/>
    </row>
    <row r="683" ht="22.5" customHeight="1">
      <c r="K683" s="8"/>
      <c r="L683" s="4"/>
    </row>
    <row r="684" ht="22.5" customHeight="1">
      <c r="K684" s="8"/>
      <c r="L684" s="4"/>
    </row>
    <row r="685" ht="22.5" customHeight="1">
      <c r="K685" s="8"/>
      <c r="L685" s="4"/>
    </row>
    <row r="686" ht="22.5" customHeight="1">
      <c r="K686" s="8"/>
      <c r="L686" s="4"/>
    </row>
    <row r="687" ht="22.5" customHeight="1">
      <c r="K687" s="8"/>
      <c r="L687" s="4"/>
    </row>
    <row r="688" ht="22.5" customHeight="1">
      <c r="K688" s="8"/>
      <c r="L688" s="4"/>
    </row>
    <row r="689" ht="22.5" customHeight="1">
      <c r="K689" s="8"/>
      <c r="L689" s="4"/>
    </row>
    <row r="690" ht="22.5" customHeight="1">
      <c r="K690" s="8"/>
      <c r="L690" s="4"/>
    </row>
    <row r="691" ht="22.5" customHeight="1">
      <c r="K691" s="8"/>
      <c r="L691" s="4"/>
    </row>
    <row r="692" ht="22.5" customHeight="1">
      <c r="K692" s="8"/>
      <c r="L692" s="4"/>
    </row>
    <row r="693" ht="22.5" customHeight="1">
      <c r="K693" s="8"/>
      <c r="L693" s="4"/>
    </row>
    <row r="694" ht="22.5" customHeight="1">
      <c r="K694" s="8"/>
      <c r="L694" s="4"/>
    </row>
    <row r="695" ht="22.5" customHeight="1">
      <c r="K695" s="8"/>
      <c r="L695" s="4"/>
    </row>
    <row r="696" ht="22.5" customHeight="1">
      <c r="K696" s="8"/>
      <c r="L696" s="4"/>
    </row>
    <row r="697" ht="22.5" customHeight="1">
      <c r="K697" s="8"/>
      <c r="L697" s="4"/>
    </row>
    <row r="698" ht="22.5" customHeight="1">
      <c r="K698" s="8"/>
      <c r="L698" s="4"/>
    </row>
    <row r="699" ht="22.5" customHeight="1">
      <c r="K699" s="8"/>
      <c r="L699" s="4"/>
    </row>
    <row r="700" ht="22.5" customHeight="1">
      <c r="K700" s="8"/>
      <c r="L700" s="4"/>
    </row>
    <row r="701" ht="22.5" customHeight="1">
      <c r="K701" s="8"/>
      <c r="L701" s="4"/>
    </row>
    <row r="702" ht="22.5" customHeight="1">
      <c r="K702" s="8"/>
      <c r="L702" s="4"/>
    </row>
    <row r="703" ht="22.5" customHeight="1">
      <c r="K703" s="8"/>
      <c r="L703" s="4"/>
    </row>
    <row r="704" ht="22.5" customHeight="1">
      <c r="K704" s="8"/>
      <c r="L704" s="4"/>
    </row>
    <row r="705" ht="22.5" customHeight="1">
      <c r="K705" s="8"/>
      <c r="L705" s="4"/>
    </row>
    <row r="706" ht="22.5" customHeight="1">
      <c r="K706" s="8"/>
      <c r="L706" s="4"/>
    </row>
    <row r="707" ht="22.5" customHeight="1">
      <c r="K707" s="8"/>
      <c r="L707" s="4"/>
    </row>
    <row r="708" ht="22.5" customHeight="1">
      <c r="K708" s="8"/>
      <c r="L708" s="4"/>
    </row>
    <row r="709" ht="22.5" customHeight="1">
      <c r="K709" s="8"/>
      <c r="L709" s="4"/>
    </row>
    <row r="710" ht="22.5" customHeight="1">
      <c r="K710" s="8"/>
      <c r="L710" s="4"/>
    </row>
    <row r="711" ht="22.5" customHeight="1">
      <c r="K711" s="8"/>
      <c r="L711" s="4"/>
    </row>
    <row r="712" ht="22.5" customHeight="1">
      <c r="K712" s="8"/>
      <c r="L712" s="4"/>
    </row>
    <row r="713" ht="22.5" customHeight="1">
      <c r="K713" s="8"/>
      <c r="L713" s="4"/>
    </row>
    <row r="714" ht="22.5" customHeight="1">
      <c r="K714" s="8"/>
      <c r="L714" s="4"/>
    </row>
    <row r="715" ht="22.5" customHeight="1">
      <c r="K715" s="8"/>
      <c r="L715" s="4"/>
    </row>
    <row r="716" ht="22.5" customHeight="1">
      <c r="K716" s="8"/>
      <c r="L716" s="4"/>
    </row>
    <row r="717" ht="22.5" customHeight="1">
      <c r="K717" s="8"/>
      <c r="L717" s="4"/>
    </row>
    <row r="718" ht="22.5" customHeight="1">
      <c r="K718" s="8"/>
      <c r="L718" s="4"/>
    </row>
    <row r="719" ht="22.5" customHeight="1">
      <c r="K719" s="8"/>
      <c r="L719" s="4"/>
    </row>
    <row r="720" ht="22.5" customHeight="1">
      <c r="K720" s="8"/>
      <c r="L720" s="4"/>
    </row>
    <row r="721" ht="22.5" customHeight="1">
      <c r="K721" s="8"/>
      <c r="L721" s="4"/>
    </row>
    <row r="722" ht="22.5" customHeight="1">
      <c r="K722" s="8"/>
      <c r="L722" s="4"/>
    </row>
    <row r="723" ht="22.5" customHeight="1">
      <c r="K723" s="8"/>
      <c r="L723" s="4"/>
    </row>
    <row r="724" ht="22.5" customHeight="1">
      <c r="K724" s="8"/>
      <c r="L724" s="4"/>
    </row>
    <row r="725" ht="22.5" customHeight="1">
      <c r="K725" s="8"/>
      <c r="L725" s="4"/>
    </row>
    <row r="726" ht="22.5" customHeight="1">
      <c r="K726" s="8"/>
      <c r="L726" s="4"/>
    </row>
    <row r="727" ht="22.5" customHeight="1">
      <c r="K727" s="8"/>
      <c r="L727" s="4"/>
    </row>
    <row r="728" ht="22.5" customHeight="1">
      <c r="K728" s="8"/>
      <c r="L728" s="4"/>
    </row>
    <row r="729" ht="22.5" customHeight="1">
      <c r="K729" s="8"/>
      <c r="L729" s="4"/>
    </row>
    <row r="730" ht="22.5" customHeight="1">
      <c r="K730" s="8"/>
      <c r="L730" s="4"/>
    </row>
    <row r="731" ht="22.5" customHeight="1">
      <c r="K731" s="8"/>
      <c r="L731" s="4"/>
    </row>
    <row r="732" ht="22.5" customHeight="1">
      <c r="K732" s="8"/>
      <c r="L732" s="4"/>
    </row>
    <row r="733" ht="22.5" customHeight="1">
      <c r="K733" s="8"/>
      <c r="L733" s="4"/>
    </row>
    <row r="734" ht="22.5" customHeight="1">
      <c r="K734" s="8"/>
      <c r="L734" s="4"/>
    </row>
    <row r="735" ht="22.5" customHeight="1">
      <c r="K735" s="8"/>
      <c r="L735" s="4"/>
    </row>
    <row r="736" ht="22.5" customHeight="1">
      <c r="K736" s="8"/>
      <c r="L736" s="4"/>
    </row>
    <row r="737" ht="22.5" customHeight="1">
      <c r="K737" s="8"/>
      <c r="L737" s="4"/>
    </row>
    <row r="738" ht="22.5" customHeight="1">
      <c r="K738" s="8"/>
      <c r="L738" s="4"/>
    </row>
    <row r="739" ht="22.5" customHeight="1">
      <c r="K739" s="8"/>
      <c r="L739" s="4"/>
    </row>
    <row r="740" ht="22.5" customHeight="1">
      <c r="K740" s="8"/>
      <c r="L740" s="4"/>
    </row>
    <row r="741" ht="22.5" customHeight="1">
      <c r="K741" s="8"/>
      <c r="L741" s="4"/>
    </row>
    <row r="742" ht="22.5" customHeight="1">
      <c r="K742" s="8"/>
      <c r="L742" s="4"/>
    </row>
    <row r="743" ht="22.5" customHeight="1">
      <c r="K743" s="8"/>
      <c r="L743" s="4"/>
    </row>
    <row r="744" ht="22.5" customHeight="1">
      <c r="K744" s="8"/>
      <c r="L744" s="4"/>
    </row>
    <row r="745" ht="22.5" customHeight="1">
      <c r="K745" s="8"/>
      <c r="L745" s="4"/>
    </row>
    <row r="746" ht="22.5" customHeight="1">
      <c r="K746" s="8"/>
      <c r="L746" s="4"/>
    </row>
    <row r="747" ht="22.5" customHeight="1">
      <c r="K747" s="8"/>
      <c r="L747" s="4"/>
    </row>
    <row r="748" ht="22.5" customHeight="1">
      <c r="K748" s="8"/>
      <c r="L748" s="4"/>
    </row>
    <row r="749" ht="22.5" customHeight="1">
      <c r="K749" s="8"/>
      <c r="L749" s="4"/>
    </row>
    <row r="750" ht="22.5" customHeight="1">
      <c r="K750" s="8"/>
      <c r="L750" s="4"/>
    </row>
    <row r="751" ht="22.5" customHeight="1">
      <c r="K751" s="8"/>
      <c r="L751" s="4"/>
    </row>
    <row r="752" ht="22.5" customHeight="1">
      <c r="K752" s="8"/>
      <c r="L752" s="4"/>
    </row>
    <row r="753" ht="22.5" customHeight="1">
      <c r="K753" s="8"/>
      <c r="L753" s="4"/>
    </row>
    <row r="754" ht="22.5" customHeight="1">
      <c r="K754" s="8"/>
      <c r="L754" s="4"/>
    </row>
    <row r="755" ht="22.5" customHeight="1">
      <c r="K755" s="8"/>
      <c r="L755" s="4"/>
    </row>
    <row r="756" ht="22.5" customHeight="1">
      <c r="K756" s="8"/>
      <c r="L756" s="4"/>
    </row>
    <row r="757" ht="22.5" customHeight="1">
      <c r="K757" s="8"/>
      <c r="L757" s="4"/>
    </row>
    <row r="758" ht="22.5" customHeight="1">
      <c r="K758" s="8"/>
      <c r="L758" s="4"/>
    </row>
    <row r="759" ht="22.5" customHeight="1">
      <c r="K759" s="8"/>
      <c r="L759" s="4"/>
    </row>
    <row r="760" ht="22.5" customHeight="1">
      <c r="K760" s="8"/>
      <c r="L760" s="4"/>
    </row>
    <row r="761" ht="22.5" customHeight="1">
      <c r="K761" s="8"/>
      <c r="L761" s="4"/>
    </row>
    <row r="762" ht="22.5" customHeight="1">
      <c r="K762" s="8"/>
      <c r="L762" s="4"/>
    </row>
    <row r="763" ht="22.5" customHeight="1">
      <c r="K763" s="8"/>
      <c r="L763" s="4"/>
    </row>
    <row r="764" ht="22.5" customHeight="1">
      <c r="K764" s="8"/>
      <c r="L764" s="4"/>
    </row>
    <row r="765" ht="22.5" customHeight="1">
      <c r="K765" s="8"/>
      <c r="L765" s="4"/>
    </row>
    <row r="766" ht="22.5" customHeight="1">
      <c r="K766" s="8"/>
      <c r="L766" s="4"/>
    </row>
    <row r="767" ht="22.5" customHeight="1">
      <c r="K767" s="8"/>
      <c r="L767" s="4"/>
    </row>
    <row r="768" ht="22.5" customHeight="1">
      <c r="K768" s="8"/>
      <c r="L768" s="4"/>
    </row>
    <row r="769" ht="22.5" customHeight="1">
      <c r="K769" s="8"/>
      <c r="L769" s="4"/>
    </row>
    <row r="770" ht="22.5" customHeight="1">
      <c r="K770" s="8"/>
      <c r="L770" s="4"/>
    </row>
    <row r="771" ht="22.5" customHeight="1">
      <c r="K771" s="8"/>
      <c r="L771" s="4"/>
    </row>
    <row r="772" ht="22.5" customHeight="1">
      <c r="K772" s="8"/>
      <c r="L772" s="4"/>
    </row>
    <row r="773" ht="22.5" customHeight="1">
      <c r="K773" s="8"/>
      <c r="L773" s="4"/>
    </row>
    <row r="774" ht="22.5" customHeight="1">
      <c r="K774" s="8"/>
      <c r="L774" s="4"/>
    </row>
    <row r="775" ht="22.5" customHeight="1">
      <c r="K775" s="8"/>
      <c r="L775" s="4"/>
    </row>
    <row r="776" ht="22.5" customHeight="1">
      <c r="K776" s="8"/>
      <c r="L776" s="4"/>
    </row>
    <row r="777" ht="22.5" customHeight="1">
      <c r="K777" s="8"/>
      <c r="L777" s="4"/>
    </row>
    <row r="778" ht="22.5" customHeight="1">
      <c r="K778" s="8"/>
      <c r="L778" s="4"/>
    </row>
    <row r="779" ht="22.5" customHeight="1">
      <c r="K779" s="8"/>
      <c r="L779" s="4"/>
    </row>
    <row r="780" ht="22.5" customHeight="1">
      <c r="K780" s="8"/>
      <c r="L780" s="4"/>
    </row>
    <row r="781" ht="22.5" customHeight="1">
      <c r="K781" s="8"/>
      <c r="L781" s="4"/>
    </row>
    <row r="782" ht="22.5" customHeight="1">
      <c r="K782" s="8"/>
      <c r="L782" s="4"/>
    </row>
    <row r="783" ht="22.5" customHeight="1">
      <c r="K783" s="8"/>
      <c r="L783" s="4"/>
    </row>
    <row r="784" ht="22.5" customHeight="1">
      <c r="K784" s="8"/>
      <c r="L784" s="4"/>
    </row>
    <row r="785" ht="22.5" customHeight="1">
      <c r="K785" s="8"/>
      <c r="L785" s="4"/>
    </row>
    <row r="786" ht="22.5" customHeight="1">
      <c r="K786" s="8"/>
      <c r="L786" s="4"/>
    </row>
    <row r="787" ht="22.5" customHeight="1">
      <c r="K787" s="8"/>
      <c r="L787" s="4"/>
    </row>
    <row r="788" ht="22.5" customHeight="1">
      <c r="K788" s="8"/>
      <c r="L788" s="4"/>
    </row>
    <row r="789" ht="22.5" customHeight="1">
      <c r="K789" s="8"/>
      <c r="L789" s="4"/>
    </row>
    <row r="790" ht="22.5" customHeight="1">
      <c r="K790" s="8"/>
      <c r="L790" s="4"/>
    </row>
    <row r="791" ht="22.5" customHeight="1">
      <c r="K791" s="8"/>
      <c r="L791" s="4"/>
    </row>
    <row r="792" ht="22.5" customHeight="1">
      <c r="K792" s="8"/>
      <c r="L792" s="4"/>
    </row>
    <row r="793" ht="22.5" customHeight="1">
      <c r="K793" s="8"/>
      <c r="L793" s="4"/>
    </row>
    <row r="794" ht="22.5" customHeight="1">
      <c r="K794" s="8"/>
      <c r="L794" s="4"/>
    </row>
    <row r="795" ht="22.5" customHeight="1">
      <c r="K795" s="8"/>
      <c r="L795" s="4"/>
    </row>
    <row r="796" ht="22.5" customHeight="1">
      <c r="K796" s="8"/>
      <c r="L796" s="4"/>
    </row>
    <row r="797" ht="22.5" customHeight="1">
      <c r="K797" s="8"/>
      <c r="L797" s="4"/>
    </row>
    <row r="798" ht="22.5" customHeight="1">
      <c r="K798" s="8"/>
      <c r="L798" s="4"/>
    </row>
    <row r="799" ht="22.5" customHeight="1">
      <c r="K799" s="8"/>
      <c r="L799" s="4"/>
    </row>
    <row r="800" ht="22.5" customHeight="1">
      <c r="K800" s="8"/>
      <c r="L800" s="4"/>
    </row>
    <row r="801" ht="22.5" customHeight="1">
      <c r="K801" s="8"/>
      <c r="L801" s="4"/>
    </row>
    <row r="802" ht="22.5" customHeight="1">
      <c r="K802" s="8"/>
      <c r="L802" s="4"/>
    </row>
    <row r="803" ht="22.5" customHeight="1">
      <c r="K803" s="8"/>
      <c r="L803" s="4"/>
    </row>
    <row r="804" ht="22.5" customHeight="1">
      <c r="K804" s="8"/>
      <c r="L804" s="4"/>
    </row>
    <row r="805" ht="22.5" customHeight="1">
      <c r="K805" s="8"/>
      <c r="L805" s="4"/>
    </row>
    <row r="806" ht="22.5" customHeight="1">
      <c r="K806" s="8"/>
      <c r="L806" s="4"/>
    </row>
    <row r="807" ht="22.5" customHeight="1">
      <c r="K807" s="8"/>
      <c r="L807" s="4"/>
    </row>
    <row r="808" ht="22.5" customHeight="1">
      <c r="K808" s="8"/>
      <c r="L808" s="4"/>
    </row>
    <row r="809" ht="22.5" customHeight="1">
      <c r="K809" s="8"/>
      <c r="L809" s="4"/>
    </row>
    <row r="810" ht="22.5" customHeight="1">
      <c r="K810" s="8"/>
      <c r="L810" s="4"/>
    </row>
    <row r="811" ht="22.5" customHeight="1">
      <c r="K811" s="8"/>
      <c r="L811" s="4"/>
    </row>
    <row r="812" ht="22.5" customHeight="1">
      <c r="K812" s="8"/>
      <c r="L812" s="4"/>
    </row>
    <row r="813" ht="22.5" customHeight="1">
      <c r="K813" s="8"/>
      <c r="L813" s="4"/>
    </row>
    <row r="814" ht="22.5" customHeight="1">
      <c r="K814" s="8"/>
      <c r="L814" s="4"/>
    </row>
    <row r="815" ht="22.5" customHeight="1">
      <c r="K815" s="8"/>
      <c r="L815" s="4"/>
    </row>
    <row r="816" ht="22.5" customHeight="1">
      <c r="K816" s="8"/>
      <c r="L816" s="4"/>
    </row>
    <row r="817" ht="22.5" customHeight="1">
      <c r="K817" s="8"/>
      <c r="L817" s="4"/>
    </row>
    <row r="818" ht="22.5" customHeight="1">
      <c r="K818" s="8"/>
      <c r="L818" s="4"/>
    </row>
    <row r="819" ht="22.5" customHeight="1">
      <c r="K819" s="8"/>
      <c r="L819" s="4"/>
    </row>
    <row r="820" ht="22.5" customHeight="1">
      <c r="K820" s="8"/>
      <c r="L820" s="4"/>
    </row>
    <row r="821" ht="22.5" customHeight="1">
      <c r="K821" s="8"/>
      <c r="L821" s="4"/>
    </row>
    <row r="822" ht="22.5" customHeight="1">
      <c r="K822" s="8"/>
      <c r="L822" s="4"/>
    </row>
    <row r="823" ht="22.5" customHeight="1">
      <c r="K823" s="8"/>
      <c r="L823" s="4"/>
    </row>
    <row r="824" ht="22.5" customHeight="1">
      <c r="K824" s="8"/>
      <c r="L824" s="4"/>
    </row>
    <row r="825" ht="22.5" customHeight="1">
      <c r="K825" s="8"/>
      <c r="L825" s="4"/>
    </row>
    <row r="826" ht="22.5" customHeight="1">
      <c r="K826" s="8"/>
      <c r="L826" s="4"/>
    </row>
    <row r="827" ht="22.5" customHeight="1">
      <c r="K827" s="8"/>
      <c r="L827" s="4"/>
    </row>
    <row r="828" ht="22.5" customHeight="1">
      <c r="K828" s="8"/>
      <c r="L828" s="4"/>
    </row>
    <row r="829" ht="22.5" customHeight="1">
      <c r="K829" s="8"/>
      <c r="L829" s="4"/>
    </row>
    <row r="830" ht="22.5" customHeight="1">
      <c r="K830" s="8"/>
      <c r="L830" s="4"/>
    </row>
    <row r="831" ht="22.5" customHeight="1">
      <c r="K831" s="8"/>
      <c r="L831" s="4"/>
    </row>
    <row r="832" ht="22.5" customHeight="1">
      <c r="K832" s="8"/>
      <c r="L832" s="4"/>
    </row>
    <row r="833" ht="22.5" customHeight="1">
      <c r="K833" s="8"/>
      <c r="L833" s="4"/>
    </row>
    <row r="834" ht="22.5" customHeight="1">
      <c r="K834" s="8"/>
      <c r="L834" s="4"/>
    </row>
    <row r="835" ht="22.5" customHeight="1">
      <c r="K835" s="8"/>
      <c r="L835" s="4"/>
    </row>
    <row r="836" ht="22.5" customHeight="1">
      <c r="K836" s="8"/>
      <c r="L836" s="4"/>
    </row>
    <row r="837" ht="22.5" customHeight="1">
      <c r="K837" s="8"/>
      <c r="L837" s="4"/>
    </row>
    <row r="838" ht="22.5" customHeight="1">
      <c r="K838" s="8"/>
      <c r="L838" s="4"/>
    </row>
    <row r="839" ht="22.5" customHeight="1">
      <c r="K839" s="8"/>
      <c r="L839" s="4"/>
    </row>
    <row r="840" ht="22.5" customHeight="1">
      <c r="K840" s="8"/>
      <c r="L840" s="4"/>
    </row>
    <row r="841" ht="22.5" customHeight="1">
      <c r="K841" s="8"/>
      <c r="L841" s="4"/>
    </row>
    <row r="842" ht="22.5" customHeight="1">
      <c r="K842" s="8"/>
      <c r="L842" s="4"/>
    </row>
    <row r="843" ht="22.5" customHeight="1">
      <c r="K843" s="8"/>
      <c r="L843" s="4"/>
    </row>
    <row r="844" ht="22.5" customHeight="1">
      <c r="K844" s="8"/>
      <c r="L844" s="4"/>
    </row>
    <row r="845" ht="22.5" customHeight="1">
      <c r="K845" s="8"/>
      <c r="L845" s="4"/>
    </row>
    <row r="846" ht="22.5" customHeight="1">
      <c r="K846" s="8"/>
      <c r="L846" s="4"/>
    </row>
    <row r="847" ht="22.5" customHeight="1">
      <c r="K847" s="8"/>
      <c r="L847" s="4"/>
    </row>
    <row r="848" ht="22.5" customHeight="1">
      <c r="K848" s="8"/>
      <c r="L848" s="4"/>
    </row>
    <row r="849" ht="22.5" customHeight="1">
      <c r="K849" s="8"/>
      <c r="L849" s="4"/>
    </row>
    <row r="850" ht="22.5" customHeight="1">
      <c r="K850" s="8"/>
      <c r="L850" s="4"/>
    </row>
    <row r="851" ht="22.5" customHeight="1">
      <c r="K851" s="8"/>
      <c r="L851" s="4"/>
    </row>
    <row r="852" ht="22.5" customHeight="1">
      <c r="K852" s="8"/>
      <c r="L852" s="4"/>
    </row>
    <row r="853" ht="22.5" customHeight="1">
      <c r="K853" s="8"/>
      <c r="L853" s="4"/>
    </row>
    <row r="854" ht="22.5" customHeight="1">
      <c r="K854" s="8"/>
      <c r="L854" s="4"/>
    </row>
    <row r="855" ht="22.5" customHeight="1">
      <c r="K855" s="8"/>
      <c r="L855" s="4"/>
    </row>
    <row r="856" ht="22.5" customHeight="1">
      <c r="K856" s="8"/>
      <c r="L856" s="4"/>
    </row>
    <row r="857" ht="22.5" customHeight="1">
      <c r="K857" s="8"/>
      <c r="L857" s="4"/>
    </row>
    <row r="858" ht="22.5" customHeight="1">
      <c r="K858" s="8"/>
      <c r="L858" s="4"/>
    </row>
    <row r="859" ht="22.5" customHeight="1">
      <c r="K859" s="8"/>
      <c r="L859" s="4"/>
    </row>
    <row r="860" ht="22.5" customHeight="1">
      <c r="K860" s="8"/>
      <c r="L860" s="4"/>
    </row>
    <row r="861" ht="22.5" customHeight="1">
      <c r="K861" s="8"/>
      <c r="L861" s="4"/>
    </row>
    <row r="862" ht="22.5" customHeight="1">
      <c r="K862" s="8"/>
      <c r="L862" s="4"/>
    </row>
    <row r="863" ht="22.5" customHeight="1">
      <c r="K863" s="8"/>
      <c r="L863" s="4"/>
    </row>
    <row r="864" ht="22.5" customHeight="1">
      <c r="K864" s="8"/>
      <c r="L864" s="4"/>
    </row>
    <row r="865" ht="22.5" customHeight="1">
      <c r="K865" s="8"/>
      <c r="L865" s="4"/>
    </row>
    <row r="866" ht="22.5" customHeight="1">
      <c r="K866" s="8"/>
      <c r="L866" s="4"/>
    </row>
    <row r="867" ht="22.5" customHeight="1">
      <c r="K867" s="8"/>
      <c r="L867" s="4"/>
    </row>
    <row r="868" ht="22.5" customHeight="1">
      <c r="K868" s="8"/>
      <c r="L868" s="4"/>
    </row>
    <row r="869" ht="22.5" customHeight="1">
      <c r="K869" s="8"/>
      <c r="L869" s="4"/>
    </row>
    <row r="870" ht="22.5" customHeight="1">
      <c r="K870" s="8"/>
      <c r="L870" s="4"/>
    </row>
    <row r="871" ht="22.5" customHeight="1">
      <c r="K871" s="8"/>
      <c r="L871" s="4"/>
    </row>
    <row r="872" ht="22.5" customHeight="1">
      <c r="K872" s="8"/>
      <c r="L872" s="4"/>
    </row>
    <row r="873" ht="22.5" customHeight="1">
      <c r="K873" s="8"/>
      <c r="L873" s="4"/>
    </row>
    <row r="874" ht="22.5" customHeight="1">
      <c r="K874" s="8"/>
      <c r="L874" s="4"/>
    </row>
    <row r="875" ht="22.5" customHeight="1">
      <c r="K875" s="8"/>
      <c r="L875" s="4"/>
    </row>
    <row r="876" ht="22.5" customHeight="1">
      <c r="K876" s="8"/>
      <c r="L876" s="4"/>
    </row>
    <row r="877" ht="22.5" customHeight="1">
      <c r="K877" s="8"/>
      <c r="L877" s="4"/>
    </row>
    <row r="878" ht="22.5" customHeight="1">
      <c r="K878" s="8"/>
      <c r="L878" s="4"/>
    </row>
    <row r="879" ht="22.5" customHeight="1">
      <c r="K879" s="8"/>
      <c r="L879" s="4"/>
    </row>
    <row r="880" ht="22.5" customHeight="1">
      <c r="K880" s="8"/>
      <c r="L880" s="4"/>
    </row>
    <row r="881" ht="22.5" customHeight="1">
      <c r="K881" s="8"/>
      <c r="L881" s="4"/>
    </row>
    <row r="882" ht="22.5" customHeight="1">
      <c r="K882" s="8"/>
      <c r="L882" s="4"/>
    </row>
    <row r="883" ht="22.5" customHeight="1">
      <c r="K883" s="8"/>
      <c r="L883" s="4"/>
    </row>
    <row r="884" ht="22.5" customHeight="1">
      <c r="K884" s="8"/>
      <c r="L884" s="4"/>
    </row>
    <row r="885" ht="22.5" customHeight="1">
      <c r="K885" s="8"/>
      <c r="L885" s="4"/>
    </row>
    <row r="886" ht="22.5" customHeight="1">
      <c r="K886" s="8"/>
      <c r="L886" s="4"/>
    </row>
    <row r="887" ht="22.5" customHeight="1">
      <c r="K887" s="8"/>
      <c r="L887" s="4"/>
    </row>
    <row r="888" ht="22.5" customHeight="1">
      <c r="K888" s="8"/>
      <c r="L888" s="4"/>
    </row>
    <row r="889" ht="22.5" customHeight="1">
      <c r="K889" s="8"/>
      <c r="L889" s="4"/>
    </row>
    <row r="890" ht="22.5" customHeight="1">
      <c r="K890" s="8"/>
      <c r="L890" s="4"/>
    </row>
    <row r="891" ht="22.5" customHeight="1">
      <c r="K891" s="8"/>
      <c r="L891" s="4"/>
    </row>
    <row r="892" ht="22.5" customHeight="1">
      <c r="K892" s="8"/>
      <c r="L892" s="4"/>
    </row>
    <row r="893" ht="22.5" customHeight="1">
      <c r="K893" s="8"/>
      <c r="L893" s="4"/>
    </row>
    <row r="894" ht="22.5" customHeight="1">
      <c r="K894" s="8"/>
      <c r="L894" s="4"/>
    </row>
    <row r="895" ht="22.5" customHeight="1">
      <c r="K895" s="8"/>
      <c r="L895" s="4"/>
    </row>
    <row r="896" ht="22.5" customHeight="1">
      <c r="K896" s="8"/>
      <c r="L896" s="4"/>
    </row>
    <row r="897" ht="22.5" customHeight="1">
      <c r="K897" s="8"/>
      <c r="L897" s="4"/>
    </row>
    <row r="898" ht="22.5" customHeight="1">
      <c r="K898" s="8"/>
      <c r="L898" s="4"/>
    </row>
    <row r="899" ht="22.5" customHeight="1">
      <c r="K899" s="8"/>
      <c r="L899" s="4"/>
    </row>
    <row r="900" ht="22.5" customHeight="1">
      <c r="K900" s="8"/>
      <c r="L900" s="4"/>
    </row>
    <row r="901" ht="22.5" customHeight="1">
      <c r="K901" s="8"/>
      <c r="L901" s="4"/>
    </row>
    <row r="902" ht="22.5" customHeight="1">
      <c r="K902" s="8"/>
      <c r="L902" s="4"/>
    </row>
    <row r="903" ht="22.5" customHeight="1">
      <c r="K903" s="8"/>
      <c r="L903" s="4"/>
    </row>
    <row r="904" ht="22.5" customHeight="1">
      <c r="K904" s="8"/>
      <c r="L904" s="4"/>
    </row>
    <row r="905" ht="22.5" customHeight="1">
      <c r="K905" s="8"/>
      <c r="L905" s="4"/>
    </row>
    <row r="906" ht="22.5" customHeight="1">
      <c r="K906" s="8"/>
      <c r="L906" s="4"/>
    </row>
    <row r="907" ht="22.5" customHeight="1">
      <c r="K907" s="8"/>
      <c r="L907" s="4"/>
    </row>
    <row r="908" ht="22.5" customHeight="1">
      <c r="K908" s="8"/>
      <c r="L908" s="4"/>
    </row>
    <row r="909" ht="22.5" customHeight="1">
      <c r="K909" s="8"/>
      <c r="L909" s="4"/>
    </row>
    <row r="910" ht="22.5" customHeight="1">
      <c r="K910" s="8"/>
      <c r="L910" s="4"/>
    </row>
    <row r="911" ht="22.5" customHeight="1">
      <c r="K911" s="8"/>
      <c r="L911" s="4"/>
    </row>
    <row r="912" ht="22.5" customHeight="1">
      <c r="K912" s="8"/>
      <c r="L912" s="4"/>
    </row>
    <row r="913" ht="22.5" customHeight="1">
      <c r="K913" s="8"/>
      <c r="L913" s="4"/>
    </row>
    <row r="914" ht="22.5" customHeight="1">
      <c r="K914" s="8"/>
      <c r="L914" s="4"/>
    </row>
    <row r="915" ht="22.5" customHeight="1">
      <c r="K915" s="8"/>
      <c r="L915" s="4"/>
    </row>
    <row r="916" ht="22.5" customHeight="1">
      <c r="K916" s="8"/>
      <c r="L916" s="4"/>
    </row>
    <row r="917" ht="22.5" customHeight="1">
      <c r="K917" s="8"/>
      <c r="L917" s="4"/>
    </row>
    <row r="918" ht="22.5" customHeight="1">
      <c r="K918" s="8"/>
      <c r="L918" s="4"/>
    </row>
    <row r="919" ht="22.5" customHeight="1">
      <c r="K919" s="8"/>
      <c r="L919" s="4"/>
    </row>
    <row r="920" ht="22.5" customHeight="1">
      <c r="K920" s="8"/>
      <c r="L920" s="4"/>
    </row>
    <row r="921" ht="22.5" customHeight="1">
      <c r="K921" s="8"/>
      <c r="L921" s="4"/>
    </row>
    <row r="922" ht="22.5" customHeight="1">
      <c r="K922" s="8"/>
      <c r="L922" s="4"/>
    </row>
    <row r="923" ht="22.5" customHeight="1">
      <c r="K923" s="8"/>
      <c r="L923" s="4"/>
    </row>
    <row r="924" ht="22.5" customHeight="1">
      <c r="K924" s="8"/>
      <c r="L924" s="4"/>
    </row>
    <row r="925" ht="22.5" customHeight="1">
      <c r="K925" s="8"/>
      <c r="L925" s="4"/>
    </row>
    <row r="926" ht="22.5" customHeight="1">
      <c r="K926" s="8"/>
      <c r="L926" s="4"/>
    </row>
    <row r="927" ht="22.5" customHeight="1">
      <c r="K927" s="8"/>
      <c r="L927" s="4"/>
    </row>
    <row r="928" ht="22.5" customHeight="1">
      <c r="K928" s="8"/>
      <c r="L928" s="4"/>
    </row>
    <row r="929" ht="22.5" customHeight="1">
      <c r="K929" s="8"/>
      <c r="L929" s="4"/>
    </row>
    <row r="930" ht="22.5" customHeight="1">
      <c r="K930" s="8"/>
      <c r="L930" s="4"/>
    </row>
    <row r="931" ht="22.5" customHeight="1">
      <c r="K931" s="8"/>
      <c r="L931" s="4"/>
    </row>
    <row r="932" ht="22.5" customHeight="1">
      <c r="K932" s="8"/>
      <c r="L932" s="4"/>
    </row>
    <row r="933" ht="22.5" customHeight="1">
      <c r="K933" s="8"/>
      <c r="L933" s="4"/>
    </row>
    <row r="934" ht="22.5" customHeight="1">
      <c r="K934" s="8"/>
      <c r="L934" s="4"/>
    </row>
    <row r="935" ht="22.5" customHeight="1">
      <c r="K935" s="8"/>
      <c r="L935" s="4"/>
    </row>
    <row r="936" ht="22.5" customHeight="1">
      <c r="K936" s="8"/>
      <c r="L936" s="4"/>
    </row>
    <row r="937" ht="22.5" customHeight="1">
      <c r="K937" s="8"/>
      <c r="L937" s="4"/>
    </row>
    <row r="938" ht="22.5" customHeight="1">
      <c r="K938" s="8"/>
      <c r="L938" s="4"/>
    </row>
    <row r="939" ht="22.5" customHeight="1">
      <c r="K939" s="8"/>
      <c r="L939" s="4"/>
    </row>
    <row r="940" ht="22.5" customHeight="1">
      <c r="K940" s="8"/>
      <c r="L940" s="4"/>
    </row>
    <row r="941" ht="22.5" customHeight="1">
      <c r="K941" s="8"/>
      <c r="L941" s="4"/>
    </row>
    <row r="942" ht="22.5" customHeight="1">
      <c r="K942" s="8"/>
      <c r="L942" s="4"/>
    </row>
    <row r="943" ht="22.5" customHeight="1">
      <c r="K943" s="8"/>
      <c r="L943" s="4"/>
    </row>
    <row r="944" ht="22.5" customHeight="1">
      <c r="K944" s="8"/>
      <c r="L944" s="4"/>
    </row>
    <row r="945" ht="22.5" customHeight="1">
      <c r="K945" s="8"/>
      <c r="L945" s="4"/>
    </row>
    <row r="946" ht="22.5" customHeight="1">
      <c r="K946" s="8"/>
      <c r="L946" s="4"/>
    </row>
    <row r="947" ht="22.5" customHeight="1">
      <c r="K947" s="8"/>
      <c r="L947" s="4"/>
    </row>
    <row r="948" ht="22.5" customHeight="1">
      <c r="K948" s="8"/>
      <c r="L948" s="4"/>
    </row>
    <row r="949" ht="22.5" customHeight="1">
      <c r="K949" s="8"/>
      <c r="L949" s="4"/>
    </row>
    <row r="950" ht="22.5" customHeight="1">
      <c r="K950" s="8"/>
      <c r="L950" s="4"/>
    </row>
    <row r="951" ht="22.5" customHeight="1">
      <c r="K951" s="8"/>
      <c r="L951" s="4"/>
    </row>
    <row r="952" ht="22.5" customHeight="1">
      <c r="K952" s="8"/>
      <c r="L952" s="4"/>
    </row>
    <row r="953" ht="22.5" customHeight="1">
      <c r="K953" s="8"/>
      <c r="L953" s="4"/>
    </row>
    <row r="954" ht="22.5" customHeight="1">
      <c r="K954" s="8"/>
      <c r="L954" s="4"/>
    </row>
    <row r="955" ht="22.5" customHeight="1">
      <c r="K955" s="8"/>
      <c r="L955" s="4"/>
    </row>
    <row r="956" ht="22.5" customHeight="1">
      <c r="K956" s="8"/>
      <c r="L956" s="4"/>
    </row>
    <row r="957" ht="22.5" customHeight="1">
      <c r="K957" s="8"/>
      <c r="L957" s="4"/>
    </row>
    <row r="958" ht="22.5" customHeight="1">
      <c r="K958" s="8"/>
      <c r="L958" s="4"/>
    </row>
    <row r="959" ht="22.5" customHeight="1">
      <c r="K959" s="8"/>
      <c r="L959" s="4"/>
    </row>
    <row r="960" ht="22.5" customHeight="1">
      <c r="K960" s="8"/>
      <c r="L960" s="4"/>
    </row>
    <row r="961" ht="22.5" customHeight="1">
      <c r="K961" s="8"/>
      <c r="L961" s="4"/>
    </row>
    <row r="962" ht="22.5" customHeight="1">
      <c r="K962" s="8"/>
      <c r="L962" s="4"/>
    </row>
    <row r="963" ht="22.5" customHeight="1">
      <c r="K963" s="8"/>
      <c r="L963" s="4"/>
    </row>
    <row r="964" ht="22.5" customHeight="1">
      <c r="K964" s="8"/>
      <c r="L964" s="4"/>
    </row>
    <row r="965" ht="22.5" customHeight="1">
      <c r="K965" s="8"/>
      <c r="L965" s="4"/>
    </row>
    <row r="966" ht="22.5" customHeight="1">
      <c r="K966" s="8"/>
      <c r="L966" s="4"/>
    </row>
    <row r="967" ht="22.5" customHeight="1">
      <c r="K967" s="8"/>
      <c r="L967" s="4"/>
    </row>
    <row r="968" ht="22.5" customHeight="1">
      <c r="K968" s="8"/>
      <c r="L968" s="4"/>
    </row>
    <row r="969" ht="22.5" customHeight="1">
      <c r="K969" s="8"/>
      <c r="L969" s="4"/>
    </row>
    <row r="970" ht="22.5" customHeight="1">
      <c r="K970" s="8"/>
      <c r="L970" s="4"/>
    </row>
    <row r="971" ht="22.5" customHeight="1">
      <c r="K971" s="8"/>
      <c r="L971" s="4"/>
    </row>
    <row r="972" ht="22.5" customHeight="1">
      <c r="K972" s="8"/>
      <c r="L972" s="4"/>
    </row>
    <row r="973" ht="22.5" customHeight="1">
      <c r="K973" s="8"/>
      <c r="L973" s="4"/>
    </row>
    <row r="974" ht="22.5" customHeight="1">
      <c r="K974" s="8"/>
      <c r="L974" s="4"/>
    </row>
    <row r="975" ht="22.5" customHeight="1">
      <c r="K975" s="8"/>
      <c r="L975" s="4"/>
    </row>
    <row r="976" ht="22.5" customHeight="1">
      <c r="K976" s="8"/>
      <c r="L976" s="4"/>
    </row>
    <row r="977" ht="22.5" customHeight="1">
      <c r="K977" s="8"/>
      <c r="L977" s="4"/>
    </row>
    <row r="978" ht="22.5" customHeight="1">
      <c r="K978" s="8"/>
      <c r="L978" s="4"/>
    </row>
    <row r="979" ht="22.5" customHeight="1">
      <c r="K979" s="8"/>
      <c r="L979" s="4"/>
    </row>
    <row r="980" ht="22.5" customHeight="1">
      <c r="K980" s="8"/>
      <c r="L980" s="4"/>
    </row>
    <row r="981" ht="22.5" customHeight="1">
      <c r="K981" s="8"/>
      <c r="L981" s="4"/>
    </row>
    <row r="982" ht="22.5" customHeight="1">
      <c r="K982" s="8"/>
      <c r="L982" s="4"/>
    </row>
    <row r="983" ht="22.5" customHeight="1">
      <c r="K983" s="8"/>
      <c r="L983" s="4"/>
    </row>
    <row r="984" ht="22.5" customHeight="1">
      <c r="K984" s="8"/>
      <c r="L984" s="4"/>
    </row>
    <row r="985" ht="22.5" customHeight="1">
      <c r="K985" s="8"/>
      <c r="L985" s="4"/>
    </row>
    <row r="986" ht="22.5" customHeight="1">
      <c r="K986" s="8"/>
      <c r="L986" s="4"/>
    </row>
    <row r="987" ht="22.5" customHeight="1">
      <c r="K987" s="8"/>
      <c r="L987" s="4"/>
    </row>
    <row r="988" ht="22.5" customHeight="1">
      <c r="K988" s="8"/>
      <c r="L988" s="4"/>
    </row>
    <row r="989" ht="22.5" customHeight="1">
      <c r="K989" s="8"/>
      <c r="L989" s="4"/>
    </row>
    <row r="990" ht="22.5" customHeight="1">
      <c r="K990" s="8"/>
      <c r="L990" s="4"/>
    </row>
    <row r="991" ht="22.5" customHeight="1">
      <c r="K991" s="8"/>
      <c r="L991" s="4"/>
    </row>
    <row r="992" ht="22.5" customHeight="1">
      <c r="K992" s="8"/>
      <c r="L992" s="4"/>
    </row>
    <row r="993" ht="22.5" customHeight="1">
      <c r="K993" s="8"/>
      <c r="L993" s="4"/>
    </row>
    <row r="994" ht="22.5" customHeight="1">
      <c r="K994" s="8"/>
      <c r="L994" s="4"/>
    </row>
    <row r="995" ht="22.5" customHeight="1">
      <c r="K995" s="8"/>
      <c r="L995" s="4"/>
    </row>
    <row r="996" ht="22.5" customHeight="1">
      <c r="K996" s="8"/>
      <c r="L996" s="4"/>
    </row>
    <row r="997" ht="22.5" customHeight="1">
      <c r="K997" s="8"/>
      <c r="L997" s="4"/>
    </row>
    <row r="998" ht="22.5" customHeight="1">
      <c r="K998" s="8"/>
      <c r="L998" s="4"/>
    </row>
    <row r="999" ht="22.5" customHeight="1">
      <c r="K999" s="8"/>
      <c r="L999" s="4"/>
    </row>
    <row r="1000" ht="22.5" customHeight="1">
      <c r="K1000" s="8"/>
      <c r="L1000" s="4"/>
    </row>
  </sheetData>
  <dataValidations>
    <dataValidation type="custom" allowBlank="1" showDropDown="1" sqref="K2:K1000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.5"/>
    <col customWidth="1" min="3" max="7" width="18.88"/>
    <col customWidth="1" min="8" max="8" width="22.63"/>
    <col customWidth="1" min="9" max="9" width="18.0"/>
    <col customWidth="1" min="10" max="10" width="16.63"/>
    <col customWidth="1" min="11" max="14" width="18.88"/>
  </cols>
  <sheetData>
    <row r="1" ht="22.5" customHeight="1">
      <c r="A1" s="1" t="s">
        <v>11</v>
      </c>
      <c r="B1" s="1" t="s">
        <v>12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</row>
    <row r="2" ht="22.5" customHeight="1">
      <c r="A2" s="11">
        <v>46172.990818969905</v>
      </c>
      <c r="B2" s="9">
        <v>3.0</v>
      </c>
      <c r="C2" s="9">
        <v>1.0</v>
      </c>
      <c r="D2" s="9">
        <v>2.0</v>
      </c>
      <c r="E2" s="9">
        <v>3.0</v>
      </c>
      <c r="F2" s="9">
        <v>4.0</v>
      </c>
      <c r="G2" s="9">
        <v>5.0</v>
      </c>
      <c r="H2" s="9">
        <v>9.9999999E7</v>
      </c>
      <c r="I2" s="9">
        <v>7.0</v>
      </c>
      <c r="J2" s="5">
        <f t="array" ref="J2:J139">IF(B2:B139="","",C2:C139+D2:D139+E2:E139+F2:F139+280*G2:G139)</f>
        <v>1410</v>
      </c>
      <c r="K2" s="5">
        <f t="array" ref="K2:K139">IF(B2:B139="","",J2:J139*(H2:H139/1000-30720/I2:I139))</f>
        <v>134812112.9</v>
      </c>
    </row>
    <row r="3" ht="22.5" customHeight="1">
      <c r="A3" s="11">
        <v>46173.00002315972</v>
      </c>
      <c r="B3" s="9">
        <v>5.0</v>
      </c>
      <c r="C3" s="9">
        <v>2.0</v>
      </c>
      <c r="D3" s="9">
        <v>3.0</v>
      </c>
      <c r="E3" s="9">
        <v>4.0</v>
      </c>
      <c r="F3" s="9">
        <v>5.0</v>
      </c>
      <c r="G3" s="9">
        <v>6.0</v>
      </c>
      <c r="H3" s="9">
        <v>9.9999999E7</v>
      </c>
      <c r="I3" s="9">
        <v>7.0</v>
      </c>
      <c r="J3" s="5">
        <v>1694.0</v>
      </c>
      <c r="K3" s="5">
        <v>1.61965758306E8</v>
      </c>
    </row>
    <row r="4" ht="22.5" customHeight="1">
      <c r="A4" s="11">
        <v>46173.000979965276</v>
      </c>
      <c r="B4" s="9">
        <v>3.0</v>
      </c>
      <c r="C4" s="9">
        <v>3.0</v>
      </c>
      <c r="D4" s="9">
        <v>4.0</v>
      </c>
      <c r="E4" s="9">
        <v>5.0</v>
      </c>
      <c r="F4" s="9">
        <v>6.0</v>
      </c>
      <c r="G4" s="9">
        <v>7.0</v>
      </c>
      <c r="H4" s="9">
        <v>9.9999999E7</v>
      </c>
      <c r="I4" s="9">
        <v>7.0</v>
      </c>
      <c r="J4" s="5">
        <v>1978.0</v>
      </c>
      <c r="K4" s="5">
        <v>1.891194037362857E8</v>
      </c>
    </row>
    <row r="5" ht="22.5" customHeight="1">
      <c r="A5" s="11">
        <v>46173.040027256946</v>
      </c>
      <c r="B5" s="9">
        <v>4.0</v>
      </c>
      <c r="C5" s="9">
        <v>222.0</v>
      </c>
      <c r="D5" s="9">
        <v>222.0</v>
      </c>
      <c r="E5" s="9">
        <v>222.0</v>
      </c>
      <c r="F5" s="9">
        <v>222.0</v>
      </c>
      <c r="G5" s="9">
        <v>222.0</v>
      </c>
      <c r="H5" s="9">
        <v>2500.0</v>
      </c>
      <c r="I5" s="9">
        <v>100.0</v>
      </c>
      <c r="J5" s="5">
        <v>63048.0</v>
      </c>
      <c r="K5" s="5">
        <v>-1.9210725599999998E7</v>
      </c>
    </row>
    <row r="6" ht="22.5" customHeight="1">
      <c r="A6" s="11">
        <v>46176.842416562504</v>
      </c>
      <c r="B6" s="9">
        <v>19.0</v>
      </c>
      <c r="C6" s="9">
        <v>4586.0</v>
      </c>
      <c r="D6" s="9">
        <v>2358.0</v>
      </c>
      <c r="E6" s="9">
        <v>155.0</v>
      </c>
      <c r="F6" s="9">
        <v>2.0</v>
      </c>
      <c r="G6" s="9">
        <v>1.0</v>
      </c>
      <c r="H6" s="9">
        <v>506358.0</v>
      </c>
      <c r="I6" s="9">
        <v>100.0</v>
      </c>
      <c r="J6" s="5">
        <v>7381.0</v>
      </c>
      <c r="K6" s="5">
        <v>1469985.198</v>
      </c>
    </row>
    <row r="7" ht="22.5" customHeight="1">
      <c r="A7" s="11">
        <v>46176.926147094906</v>
      </c>
      <c r="B7" s="9">
        <v>10.0</v>
      </c>
      <c r="C7" s="9">
        <v>1893.0</v>
      </c>
      <c r="D7" s="9">
        <v>1528.0</v>
      </c>
      <c r="E7" s="9">
        <v>93.0</v>
      </c>
      <c r="F7" s="9">
        <v>2.0</v>
      </c>
      <c r="G7" s="9">
        <v>1.0</v>
      </c>
      <c r="H7" s="9">
        <v>725861.449</v>
      </c>
      <c r="I7" s="9">
        <v>118.0</v>
      </c>
      <c r="J7" s="5">
        <v>3796.0</v>
      </c>
      <c r="K7" s="5">
        <v>1767123.280742983</v>
      </c>
    </row>
    <row r="8" ht="22.5" customHeight="1">
      <c r="A8" s="11">
        <v>46176.93308969907</v>
      </c>
      <c r="B8" s="9">
        <v>14.0</v>
      </c>
      <c r="C8" s="9">
        <v>3447.0</v>
      </c>
      <c r="D8" s="9">
        <v>2947.0</v>
      </c>
      <c r="E8" s="9">
        <v>666.0</v>
      </c>
      <c r="F8" s="9">
        <v>322.0</v>
      </c>
      <c r="G8" s="9">
        <v>1.0</v>
      </c>
      <c r="H8" s="9">
        <v>651275.0</v>
      </c>
      <c r="I8" s="9">
        <v>85.0</v>
      </c>
      <c r="J8" s="5">
        <v>7662.0</v>
      </c>
      <c r="K8" s="5">
        <v>2220932.108823529</v>
      </c>
    </row>
    <row r="9" ht="22.5" customHeight="1">
      <c r="A9" s="11">
        <v>46176.945609166665</v>
      </c>
      <c r="B9" s="9">
        <v>11.0</v>
      </c>
      <c r="C9" s="9">
        <v>1729.0</v>
      </c>
      <c r="D9" s="9">
        <v>1482.0</v>
      </c>
      <c r="E9" s="9">
        <v>99.0</v>
      </c>
      <c r="F9" s="9">
        <v>2.0</v>
      </c>
      <c r="G9" s="9">
        <v>1.0</v>
      </c>
      <c r="H9" s="9">
        <v>3184887.93</v>
      </c>
      <c r="I9" s="9">
        <v>100.0</v>
      </c>
      <c r="J9" s="5">
        <v>3592.0</v>
      </c>
      <c r="K9" s="5">
        <v>1.0336655044560002E7</v>
      </c>
    </row>
    <row r="10" ht="22.5" customHeight="1">
      <c r="A10" s="11">
        <v>46176.96295545139</v>
      </c>
      <c r="B10" s="9">
        <v>4.0</v>
      </c>
      <c r="C10" s="9">
        <v>2387.0</v>
      </c>
      <c r="D10" s="9">
        <v>1285.0</v>
      </c>
      <c r="E10" s="9">
        <v>55.0</v>
      </c>
      <c r="F10" s="9">
        <v>26.0</v>
      </c>
      <c r="G10" s="9">
        <v>280.0</v>
      </c>
      <c r="H10" s="9">
        <v>621842.7</v>
      </c>
      <c r="I10" s="9">
        <v>110.0</v>
      </c>
      <c r="J10" s="5">
        <v>82153.0</v>
      </c>
      <c r="K10" s="5">
        <v>2.814315096946363E7</v>
      </c>
    </row>
    <row r="11" ht="22.5" customHeight="1">
      <c r="A11" s="11">
        <v>46176.968515138884</v>
      </c>
      <c r="B11" s="9">
        <v>4.0</v>
      </c>
      <c r="C11" s="9">
        <v>2387.0</v>
      </c>
      <c r="D11" s="9">
        <v>1285.0</v>
      </c>
      <c r="E11" s="9">
        <v>55.0</v>
      </c>
      <c r="F11" s="9">
        <v>26.0</v>
      </c>
      <c r="G11" s="9">
        <v>1.0</v>
      </c>
      <c r="H11" s="9">
        <v>621842.7</v>
      </c>
      <c r="I11" s="9">
        <v>110.0</v>
      </c>
      <c r="J11" s="5">
        <v>4033.0</v>
      </c>
      <c r="K11" s="5">
        <v>1381584.7000090906</v>
      </c>
    </row>
    <row r="12" ht="22.5" customHeight="1">
      <c r="A12" s="11">
        <v>46176.972165300926</v>
      </c>
      <c r="B12" s="9">
        <v>9.0</v>
      </c>
      <c r="C12" s="9">
        <v>3869.0</v>
      </c>
      <c r="D12" s="9">
        <v>2763.0</v>
      </c>
      <c r="E12" s="9">
        <v>360.0</v>
      </c>
      <c r="F12" s="9">
        <v>1.0</v>
      </c>
      <c r="G12" s="9">
        <v>1.0</v>
      </c>
      <c r="H12" s="9">
        <v>927658.0</v>
      </c>
      <c r="I12" s="9">
        <v>100.0</v>
      </c>
      <c r="J12" s="5">
        <v>7273.0</v>
      </c>
      <c r="K12" s="5">
        <v>4512591.034000001</v>
      </c>
    </row>
    <row r="13" ht="22.5" customHeight="1">
      <c r="A13" s="11">
        <v>46176.990697037036</v>
      </c>
      <c r="B13" s="9">
        <v>20.0</v>
      </c>
      <c r="C13" s="9">
        <v>2135.0</v>
      </c>
      <c r="D13" s="9">
        <v>2031.0</v>
      </c>
      <c r="E13" s="9">
        <v>61.0</v>
      </c>
      <c r="F13" s="9">
        <v>22.0</v>
      </c>
      <c r="G13" s="9">
        <v>1.0</v>
      </c>
      <c r="H13" s="9">
        <v>1384000.0</v>
      </c>
      <c r="I13" s="9">
        <v>100.0</v>
      </c>
      <c r="J13" s="5">
        <v>4529.0</v>
      </c>
      <c r="K13" s="5">
        <v>4876827.2</v>
      </c>
    </row>
    <row r="14" ht="22.5" customHeight="1">
      <c r="A14" s="11">
        <v>46177.05778828704</v>
      </c>
      <c r="B14" s="9">
        <v>19.0</v>
      </c>
      <c r="C14" s="9">
        <v>4566.0</v>
      </c>
      <c r="D14" s="9">
        <v>2358.0</v>
      </c>
      <c r="E14" s="9">
        <v>155.0</v>
      </c>
      <c r="F14" s="9">
        <v>2.0</v>
      </c>
      <c r="G14" s="9">
        <v>1.0</v>
      </c>
      <c r="H14" s="9">
        <v>506358.0</v>
      </c>
      <c r="I14" s="9">
        <v>100.0</v>
      </c>
      <c r="J14" s="5">
        <v>7361.0</v>
      </c>
      <c r="K14" s="5">
        <v>1466002.0380000002</v>
      </c>
    </row>
    <row r="15" ht="22.5" customHeight="1">
      <c r="A15" s="11">
        <v>46177.069847418985</v>
      </c>
      <c r="B15" s="9">
        <v>20.0</v>
      </c>
      <c r="C15" s="9">
        <v>2135.0</v>
      </c>
      <c r="D15" s="9">
        <v>2031.0</v>
      </c>
      <c r="E15" s="9">
        <v>61.0</v>
      </c>
      <c r="F15" s="9">
        <v>22.0</v>
      </c>
      <c r="G15" s="9">
        <v>1.0</v>
      </c>
      <c r="H15" s="9">
        <v>1384180.0</v>
      </c>
      <c r="I15" s="9">
        <v>100.0</v>
      </c>
      <c r="J15" s="5">
        <v>4529.0</v>
      </c>
      <c r="K15" s="5">
        <v>4877642.42</v>
      </c>
    </row>
    <row r="16" ht="22.5" customHeight="1">
      <c r="A16" s="11">
        <v>46177.07146771991</v>
      </c>
      <c r="B16" s="9">
        <v>13.0</v>
      </c>
      <c r="C16" s="9">
        <v>1397.0</v>
      </c>
      <c r="D16" s="9">
        <v>737.0</v>
      </c>
      <c r="E16" s="9">
        <v>5.0</v>
      </c>
      <c r="F16" s="9">
        <v>2.0</v>
      </c>
      <c r="G16" s="9">
        <v>1.0</v>
      </c>
      <c r="H16" s="9">
        <v>1513542.47</v>
      </c>
      <c r="I16" s="9">
        <v>100.0</v>
      </c>
      <c r="J16" s="5">
        <v>2421.0</v>
      </c>
      <c r="K16" s="5">
        <v>2920555.1198699996</v>
      </c>
    </row>
    <row r="17" ht="22.5" customHeight="1">
      <c r="A17" s="11">
        <v>46177.42047936343</v>
      </c>
      <c r="B17" s="9">
        <v>23.0</v>
      </c>
      <c r="C17" s="9">
        <v>1833.0</v>
      </c>
      <c r="D17" s="9">
        <v>1787.0</v>
      </c>
      <c r="E17" s="9">
        <v>280.0</v>
      </c>
      <c r="F17" s="9">
        <v>10.0</v>
      </c>
      <c r="G17" s="9">
        <v>1.0</v>
      </c>
      <c r="H17" s="9">
        <v>5214839.697</v>
      </c>
      <c r="I17" s="9">
        <v>50.0</v>
      </c>
      <c r="J17" s="5">
        <v>4190.0</v>
      </c>
      <c r="K17" s="5">
        <v>1.9275842330429997E7</v>
      </c>
    </row>
    <row r="18" ht="22.5" customHeight="1">
      <c r="A18" s="11">
        <v>46177.43044810185</v>
      </c>
      <c r="B18" s="9">
        <v>3.0</v>
      </c>
      <c r="C18" s="9">
        <v>2036.0</v>
      </c>
      <c r="D18" s="9">
        <v>1528.0</v>
      </c>
      <c r="E18" s="9">
        <v>0.1</v>
      </c>
      <c r="F18" s="9">
        <v>0.1</v>
      </c>
      <c r="G18" s="9">
        <v>1.0</v>
      </c>
      <c r="H18" s="9">
        <v>450186.0</v>
      </c>
      <c r="I18" s="9">
        <v>100.0</v>
      </c>
      <c r="J18" s="5">
        <v>3844.2</v>
      </c>
      <c r="K18" s="5">
        <v>549666.7812</v>
      </c>
    </row>
    <row r="19" ht="22.5" customHeight="1">
      <c r="A19" s="11">
        <v>46177.46790392361</v>
      </c>
      <c r="B19" s="9">
        <v>7.0</v>
      </c>
      <c r="C19" s="9">
        <v>1809.0</v>
      </c>
      <c r="D19" s="9">
        <v>1523.0</v>
      </c>
      <c r="E19" s="9">
        <v>71.0</v>
      </c>
      <c r="F19" s="9">
        <v>2.0</v>
      </c>
      <c r="G19" s="9">
        <v>1.0</v>
      </c>
      <c r="H19" s="9">
        <v>1950087.481</v>
      </c>
      <c r="I19" s="9">
        <v>100.0</v>
      </c>
      <c r="J19" s="5">
        <v>3685.0</v>
      </c>
      <c r="K19" s="5">
        <v>6054040.367485</v>
      </c>
    </row>
    <row r="20" ht="22.5" customHeight="1">
      <c r="A20" s="11">
        <v>46177.5324434375</v>
      </c>
      <c r="B20" s="9">
        <v>5.0</v>
      </c>
      <c r="C20" s="9">
        <v>1777.0</v>
      </c>
      <c r="D20" s="9">
        <v>1829.0</v>
      </c>
      <c r="E20" s="9">
        <v>265.0</v>
      </c>
      <c r="F20" s="9">
        <v>2.0</v>
      </c>
      <c r="G20" s="9">
        <v>1.0</v>
      </c>
      <c r="H20" s="9">
        <v>1955561.979</v>
      </c>
      <c r="I20" s="9">
        <v>100.0</v>
      </c>
      <c r="J20" s="5">
        <v>4153.0</v>
      </c>
      <c r="K20" s="5">
        <v>6845647.298787</v>
      </c>
    </row>
    <row r="21" ht="22.5" customHeight="1">
      <c r="A21" s="11">
        <v>46177.548186307875</v>
      </c>
      <c r="B21" s="9">
        <v>12.0</v>
      </c>
      <c r="C21" s="9">
        <v>2083.0</v>
      </c>
      <c r="D21" s="9">
        <v>1809.0</v>
      </c>
      <c r="E21" s="9">
        <v>269.0</v>
      </c>
      <c r="F21" s="9">
        <v>2.0</v>
      </c>
      <c r="G21" s="9">
        <v>1.0</v>
      </c>
      <c r="H21" s="9">
        <v>3470952.856</v>
      </c>
      <c r="I21" s="9">
        <v>105.0</v>
      </c>
      <c r="J21" s="5">
        <v>4443.0</v>
      </c>
      <c r="K21" s="5">
        <v>1.4121548682065144E7</v>
      </c>
    </row>
    <row r="22" ht="22.5" customHeight="1">
      <c r="A22" s="11">
        <v>46177.55231403935</v>
      </c>
      <c r="B22" s="9">
        <v>26.0</v>
      </c>
      <c r="C22" s="9">
        <v>2192.0</v>
      </c>
      <c r="D22" s="9">
        <v>1874.0</v>
      </c>
      <c r="E22" s="9">
        <v>240.0</v>
      </c>
      <c r="F22" s="9">
        <v>10.0</v>
      </c>
      <c r="G22" s="9">
        <v>1.0</v>
      </c>
      <c r="H22" s="9">
        <v>1321783.874</v>
      </c>
      <c r="I22" s="9">
        <v>100.0</v>
      </c>
      <c r="J22" s="5">
        <v>4596.0</v>
      </c>
      <c r="K22" s="5">
        <v>4663027.484904</v>
      </c>
    </row>
    <row r="23" ht="22.5" customHeight="1">
      <c r="A23" s="11">
        <v>46177.55275981482</v>
      </c>
      <c r="B23" s="9">
        <v>18.0</v>
      </c>
      <c r="C23" s="9">
        <v>2572.0</v>
      </c>
      <c r="D23" s="9">
        <v>1835.0</v>
      </c>
      <c r="E23" s="9">
        <v>262.0</v>
      </c>
      <c r="F23" s="9">
        <v>2.0</v>
      </c>
      <c r="G23" s="9">
        <v>1.0</v>
      </c>
      <c r="H23" s="9">
        <v>3216513.442</v>
      </c>
      <c r="I23" s="9">
        <v>50.0</v>
      </c>
      <c r="J23" s="5">
        <v>4951.0</v>
      </c>
      <c r="K23" s="5">
        <v>1.2883063651341999E7</v>
      </c>
    </row>
    <row r="24" ht="22.5" customHeight="1">
      <c r="A24" s="11">
        <v>46177.562045300925</v>
      </c>
      <c r="B24" s="9">
        <v>6.0</v>
      </c>
      <c r="C24" s="9">
        <v>4511.0</v>
      </c>
      <c r="D24" s="9">
        <v>3665.0</v>
      </c>
      <c r="E24" s="9">
        <v>689.0</v>
      </c>
      <c r="F24" s="9">
        <v>146.0</v>
      </c>
      <c r="G24" s="9">
        <v>1.0</v>
      </c>
      <c r="H24" s="9">
        <v>454341.909</v>
      </c>
      <c r="I24" s="9">
        <v>100.0</v>
      </c>
      <c r="J24" s="5">
        <v>9291.0</v>
      </c>
      <c r="K24" s="5">
        <v>1367095.476519</v>
      </c>
    </row>
    <row r="25" ht="22.5" customHeight="1">
      <c r="A25" s="11">
        <v>46177.578979375</v>
      </c>
      <c r="B25" s="9">
        <v>28.0</v>
      </c>
      <c r="C25" s="9">
        <v>2391.0</v>
      </c>
      <c r="D25" s="9">
        <v>960.0</v>
      </c>
      <c r="E25" s="9">
        <v>7.0</v>
      </c>
      <c r="F25" s="9">
        <v>2.0</v>
      </c>
      <c r="G25" s="9">
        <v>1.0</v>
      </c>
      <c r="H25" s="9">
        <v>5042300.0</v>
      </c>
      <c r="I25" s="9">
        <v>50.0</v>
      </c>
      <c r="J25" s="5">
        <v>3640.0</v>
      </c>
      <c r="K25" s="5">
        <v>1.6117556000000002E7</v>
      </c>
    </row>
    <row r="26" ht="22.5" customHeight="1">
      <c r="A26" s="11">
        <v>46177.58003070602</v>
      </c>
      <c r="B26" s="9">
        <v>16.0</v>
      </c>
      <c r="C26" s="9">
        <v>2497.0</v>
      </c>
      <c r="D26" s="9">
        <v>2090.0</v>
      </c>
      <c r="E26" s="9">
        <v>270.0</v>
      </c>
      <c r="F26" s="9">
        <v>2.0</v>
      </c>
      <c r="G26" s="9">
        <v>1.0</v>
      </c>
      <c r="H26" s="9">
        <v>3162000.0</v>
      </c>
      <c r="I26" s="9">
        <v>100.0</v>
      </c>
      <c r="J26" s="5">
        <v>5139.0</v>
      </c>
      <c r="K26" s="5">
        <v>1.4670817200000001E7</v>
      </c>
    </row>
    <row r="27" ht="22.5" customHeight="1">
      <c r="A27" s="11">
        <v>46177.58047071759</v>
      </c>
      <c r="B27" s="9">
        <v>15.0</v>
      </c>
      <c r="C27" s="9">
        <v>2291.0</v>
      </c>
      <c r="D27" s="9">
        <v>1946.0</v>
      </c>
      <c r="E27" s="9">
        <v>287.0</v>
      </c>
      <c r="F27" s="9">
        <v>2.0</v>
      </c>
      <c r="G27" s="9">
        <v>1.0</v>
      </c>
      <c r="H27" s="9">
        <v>2474244.227</v>
      </c>
      <c r="I27" s="9">
        <v>100.0</v>
      </c>
      <c r="J27" s="5">
        <v>4806.0</v>
      </c>
      <c r="K27" s="5">
        <v>1.0414814554962002E7</v>
      </c>
    </row>
    <row r="28" ht="22.5" customHeight="1">
      <c r="A28" s="11">
        <v>46177.58881422454</v>
      </c>
      <c r="B28" s="9">
        <v>8.0</v>
      </c>
      <c r="C28" s="9">
        <v>3855.0</v>
      </c>
      <c r="D28" s="9">
        <v>3055.0</v>
      </c>
      <c r="E28" s="9">
        <v>219.0</v>
      </c>
      <c r="F28" s="9">
        <v>109.0</v>
      </c>
      <c r="G28" s="9">
        <v>1.0</v>
      </c>
      <c r="H28" s="9">
        <v>814946.402</v>
      </c>
      <c r="I28" s="9">
        <v>100.0</v>
      </c>
      <c r="J28" s="5">
        <v>7518.0</v>
      </c>
      <c r="K28" s="5">
        <v>3817237.450236</v>
      </c>
    </row>
    <row r="29" ht="22.5" customHeight="1">
      <c r="A29" s="11">
        <v>46177.61321928241</v>
      </c>
      <c r="B29" s="9">
        <v>2.0</v>
      </c>
      <c r="C29" s="9">
        <v>1984.0</v>
      </c>
      <c r="D29" s="9">
        <v>1826.0</v>
      </c>
      <c r="E29" s="9">
        <v>278.0</v>
      </c>
      <c r="F29" s="9">
        <v>2.0</v>
      </c>
      <c r="G29" s="9">
        <v>1.0</v>
      </c>
      <c r="H29" s="9">
        <v>5100000.0</v>
      </c>
      <c r="I29" s="9">
        <v>50.0</v>
      </c>
      <c r="J29" s="5">
        <v>4370.0</v>
      </c>
      <c r="K29" s="5">
        <v>1.9602072E7</v>
      </c>
    </row>
    <row r="30" ht="22.5" customHeight="1">
      <c r="A30" s="11">
        <v>46177.6305028125</v>
      </c>
      <c r="B30" s="9">
        <v>24.0</v>
      </c>
      <c r="C30" s="9">
        <v>3555.0</v>
      </c>
      <c r="D30" s="9">
        <v>2828.0</v>
      </c>
      <c r="E30" s="9">
        <v>535.0</v>
      </c>
      <c r="F30" s="9">
        <v>2.0</v>
      </c>
      <c r="G30" s="9">
        <v>1.0</v>
      </c>
      <c r="H30" s="9">
        <v>562022.379</v>
      </c>
      <c r="I30" s="9">
        <v>100.0</v>
      </c>
      <c r="J30" s="5">
        <v>7200.0</v>
      </c>
      <c r="K30" s="5">
        <v>1834721.1288</v>
      </c>
    </row>
    <row r="31" ht="22.5" customHeight="1">
      <c r="A31" s="11">
        <v>46177.64920665509</v>
      </c>
      <c r="B31" s="9">
        <v>2.0</v>
      </c>
      <c r="C31" s="9">
        <v>1984.0</v>
      </c>
      <c r="D31" s="9">
        <v>1826.0</v>
      </c>
      <c r="E31" s="9">
        <v>278.0</v>
      </c>
      <c r="F31" s="9">
        <v>2.0</v>
      </c>
      <c r="G31" s="9">
        <v>1.0</v>
      </c>
      <c r="H31" s="9">
        <v>5098755.0</v>
      </c>
      <c r="I31" s="9">
        <v>50.0</v>
      </c>
      <c r="J31" s="5">
        <v>4370.0</v>
      </c>
      <c r="K31" s="5">
        <v>1.959663135E7</v>
      </c>
    </row>
    <row r="32" ht="22.5" customHeight="1">
      <c r="A32" s="11">
        <v>46177.656442060186</v>
      </c>
      <c r="B32" s="9">
        <v>21.0</v>
      </c>
      <c r="C32" s="9">
        <v>1873.0</v>
      </c>
      <c r="D32" s="9">
        <v>1822.0</v>
      </c>
      <c r="E32" s="9">
        <v>259.0</v>
      </c>
      <c r="F32" s="9">
        <v>0.0</v>
      </c>
      <c r="G32" s="9">
        <v>0.0</v>
      </c>
      <c r="H32" s="9">
        <v>2215212.795</v>
      </c>
      <c r="I32" s="9">
        <v>71.0</v>
      </c>
      <c r="J32" s="5">
        <v>3954.0</v>
      </c>
      <c r="K32" s="5">
        <v>7048150.264669437</v>
      </c>
    </row>
    <row r="33" ht="22.5" customHeight="1">
      <c r="A33" s="11">
        <v>46177.65659006944</v>
      </c>
      <c r="B33" s="9">
        <v>3.0</v>
      </c>
      <c r="C33" s="9">
        <v>2036.0</v>
      </c>
      <c r="D33" s="9">
        <v>1528.0</v>
      </c>
      <c r="E33" s="9">
        <v>0.0</v>
      </c>
      <c r="F33" s="9">
        <v>0.0</v>
      </c>
      <c r="G33" s="9">
        <v>1.0</v>
      </c>
      <c r="H33" s="9">
        <v>450186.0</v>
      </c>
      <c r="I33" s="9">
        <v>100.0</v>
      </c>
      <c r="J33" s="5">
        <v>3844.0</v>
      </c>
      <c r="K33" s="5">
        <v>549638.184</v>
      </c>
    </row>
    <row r="34" ht="22.5" customHeight="1">
      <c r="A34" s="11">
        <v>46177.65679991899</v>
      </c>
      <c r="B34" s="9">
        <v>12.0</v>
      </c>
      <c r="C34" s="9">
        <v>1996.0</v>
      </c>
      <c r="D34" s="9">
        <v>1809.0</v>
      </c>
      <c r="E34" s="9">
        <v>267.0</v>
      </c>
      <c r="F34" s="9">
        <v>0.0</v>
      </c>
      <c r="G34" s="9">
        <v>0.0</v>
      </c>
      <c r="H34" s="9">
        <v>3470952.856</v>
      </c>
      <c r="I34" s="9">
        <v>105.0</v>
      </c>
      <c r="J34" s="5">
        <v>4072.0</v>
      </c>
      <c r="K34" s="5">
        <v>1.2942369172489144E7</v>
      </c>
    </row>
    <row r="35" ht="22.5" customHeight="1">
      <c r="A35" s="11">
        <v>46177.66776010417</v>
      </c>
      <c r="B35" s="9">
        <v>25.0</v>
      </c>
      <c r="C35" s="9">
        <v>1704.0</v>
      </c>
      <c r="D35" s="9">
        <v>1762.0</v>
      </c>
      <c r="E35" s="9">
        <v>264.0</v>
      </c>
      <c r="F35" s="9">
        <v>2.0</v>
      </c>
      <c r="G35" s="9">
        <v>3.0</v>
      </c>
      <c r="H35" s="9">
        <v>4915000.0</v>
      </c>
      <c r="I35" s="9">
        <v>50.0</v>
      </c>
      <c r="J35" s="5">
        <v>4572.0</v>
      </c>
      <c r="K35" s="5">
        <v>1.9662343200000003E7</v>
      </c>
    </row>
    <row r="36" ht="22.5" customHeight="1">
      <c r="A36" s="11">
        <v>46177.670615763884</v>
      </c>
      <c r="B36" s="9">
        <v>10.0</v>
      </c>
      <c r="C36" s="9">
        <v>1883.0</v>
      </c>
      <c r="D36" s="9">
        <v>1514.0</v>
      </c>
      <c r="E36" s="9">
        <v>92.0</v>
      </c>
      <c r="F36" s="9">
        <v>1.0</v>
      </c>
      <c r="G36" s="9">
        <v>0.0</v>
      </c>
      <c r="H36" s="9">
        <v>725861.0</v>
      </c>
      <c r="I36" s="9">
        <v>118.0</v>
      </c>
      <c r="J36" s="5">
        <v>3490.0</v>
      </c>
      <c r="K36" s="5">
        <v>1624671.8391525424</v>
      </c>
    </row>
    <row r="37" ht="22.5" customHeight="1">
      <c r="A37" s="11">
        <v>46177.67511784722</v>
      </c>
      <c r="B37" s="9">
        <v>1.0</v>
      </c>
      <c r="C37" s="9">
        <v>2516.0</v>
      </c>
      <c r="D37" s="9">
        <v>1877.0</v>
      </c>
      <c r="E37" s="9">
        <v>179.0</v>
      </c>
      <c r="F37" s="9">
        <v>12.0</v>
      </c>
      <c r="G37" s="9">
        <v>1.0</v>
      </c>
      <c r="H37" s="9">
        <v>1340052.0</v>
      </c>
      <c r="I37" s="9">
        <v>100.0</v>
      </c>
      <c r="J37" s="5">
        <v>4864.0</v>
      </c>
      <c r="K37" s="5">
        <v>5023792.128</v>
      </c>
    </row>
    <row r="38" ht="22.5" customHeight="1">
      <c r="A38" s="11">
        <v>46177.72154894676</v>
      </c>
      <c r="B38" s="9">
        <v>4.0</v>
      </c>
      <c r="C38" s="9">
        <v>2397.0</v>
      </c>
      <c r="D38" s="9">
        <v>1299.0</v>
      </c>
      <c r="E38" s="9">
        <v>55.0</v>
      </c>
      <c r="F38" s="9">
        <v>26.0</v>
      </c>
      <c r="G38" s="9">
        <v>1.0</v>
      </c>
      <c r="H38" s="9">
        <v>570058.602</v>
      </c>
      <c r="I38" s="9">
        <v>120.0</v>
      </c>
      <c r="J38" s="5">
        <v>4057.0</v>
      </c>
      <c r="K38" s="5">
        <v>1274135.7483139997</v>
      </c>
    </row>
    <row r="39" ht="22.5" customHeight="1">
      <c r="A39" s="11">
        <v>46177.73138614584</v>
      </c>
      <c r="B39" s="9">
        <v>22.0</v>
      </c>
      <c r="C39" s="9">
        <v>1872.0</v>
      </c>
      <c r="D39" s="9">
        <v>1735.0</v>
      </c>
      <c r="E39" s="9">
        <v>262.0</v>
      </c>
      <c r="F39" s="9">
        <v>4.0</v>
      </c>
      <c r="G39" s="9">
        <v>1.0</v>
      </c>
      <c r="H39" s="9">
        <v>1257000.0</v>
      </c>
      <c r="I39" s="9">
        <v>100.0</v>
      </c>
      <c r="J39" s="5">
        <v>4153.0</v>
      </c>
      <c r="K39" s="5">
        <v>3944519.4</v>
      </c>
    </row>
    <row r="40">
      <c r="J40" s="12" t="s">
        <v>13</v>
      </c>
      <c r="K40" s="12" t="s">
        <v>13</v>
      </c>
    </row>
    <row r="41">
      <c r="J41" s="12" t="s">
        <v>13</v>
      </c>
      <c r="K41" s="12" t="s">
        <v>13</v>
      </c>
    </row>
    <row r="42">
      <c r="J42" s="12" t="s">
        <v>13</v>
      </c>
      <c r="K42" s="12" t="s">
        <v>13</v>
      </c>
    </row>
    <row r="43">
      <c r="J43" s="12" t="s">
        <v>13</v>
      </c>
      <c r="K43" s="12" t="s">
        <v>13</v>
      </c>
    </row>
    <row r="44">
      <c r="J44" s="12" t="s">
        <v>13</v>
      </c>
      <c r="K44" s="12" t="s">
        <v>13</v>
      </c>
    </row>
    <row r="45">
      <c r="J45" s="12" t="s">
        <v>13</v>
      </c>
      <c r="K45" s="12" t="s">
        <v>13</v>
      </c>
    </row>
    <row r="46">
      <c r="J46" s="12" t="s">
        <v>13</v>
      </c>
      <c r="K46" s="12" t="s">
        <v>13</v>
      </c>
    </row>
    <row r="47">
      <c r="J47" s="12" t="s">
        <v>13</v>
      </c>
      <c r="K47" s="12" t="s">
        <v>13</v>
      </c>
    </row>
    <row r="48">
      <c r="J48" s="12" t="s">
        <v>13</v>
      </c>
      <c r="K48" s="12" t="s">
        <v>13</v>
      </c>
    </row>
    <row r="49">
      <c r="J49" s="12" t="s">
        <v>13</v>
      </c>
      <c r="K49" s="12" t="s">
        <v>13</v>
      </c>
    </row>
    <row r="50">
      <c r="J50" s="12" t="s">
        <v>13</v>
      </c>
      <c r="K50" s="12" t="s">
        <v>13</v>
      </c>
    </row>
    <row r="51">
      <c r="J51" s="12" t="s">
        <v>13</v>
      </c>
      <c r="K51" s="12" t="s">
        <v>13</v>
      </c>
    </row>
    <row r="52">
      <c r="J52" s="12" t="s">
        <v>13</v>
      </c>
      <c r="K52" s="12" t="s">
        <v>13</v>
      </c>
    </row>
    <row r="53">
      <c r="J53" s="12" t="s">
        <v>13</v>
      </c>
      <c r="K53" s="12" t="s">
        <v>13</v>
      </c>
    </row>
    <row r="54">
      <c r="J54" s="12" t="s">
        <v>13</v>
      </c>
      <c r="K54" s="12" t="s">
        <v>13</v>
      </c>
    </row>
    <row r="55">
      <c r="J55" s="12" t="s">
        <v>13</v>
      </c>
      <c r="K55" s="12" t="s">
        <v>13</v>
      </c>
    </row>
    <row r="56">
      <c r="J56" s="12" t="s">
        <v>13</v>
      </c>
      <c r="K56" s="12" t="s">
        <v>13</v>
      </c>
    </row>
    <row r="57">
      <c r="J57" s="12" t="s">
        <v>13</v>
      </c>
      <c r="K57" s="12" t="s">
        <v>13</v>
      </c>
    </row>
    <row r="58">
      <c r="J58" s="12" t="s">
        <v>13</v>
      </c>
      <c r="K58" s="12" t="s">
        <v>13</v>
      </c>
    </row>
    <row r="59">
      <c r="J59" s="12" t="s">
        <v>13</v>
      </c>
      <c r="K59" s="12" t="s">
        <v>13</v>
      </c>
    </row>
    <row r="60">
      <c r="J60" s="12" t="s">
        <v>13</v>
      </c>
      <c r="K60" s="12" t="s">
        <v>13</v>
      </c>
    </row>
    <row r="61">
      <c r="J61" s="12" t="s">
        <v>13</v>
      </c>
      <c r="K61" s="12" t="s">
        <v>13</v>
      </c>
    </row>
    <row r="62">
      <c r="J62" s="12" t="s">
        <v>13</v>
      </c>
      <c r="K62" s="12" t="s">
        <v>13</v>
      </c>
    </row>
    <row r="63">
      <c r="J63" s="12" t="s">
        <v>13</v>
      </c>
      <c r="K63" s="12" t="s">
        <v>13</v>
      </c>
    </row>
    <row r="64">
      <c r="J64" s="12" t="s">
        <v>13</v>
      </c>
      <c r="K64" s="12" t="s">
        <v>13</v>
      </c>
    </row>
    <row r="65">
      <c r="J65" s="12" t="s">
        <v>13</v>
      </c>
      <c r="K65" s="12" t="s">
        <v>13</v>
      </c>
    </row>
    <row r="66">
      <c r="J66" s="12" t="s">
        <v>13</v>
      </c>
      <c r="K66" s="12" t="s">
        <v>13</v>
      </c>
    </row>
    <row r="67">
      <c r="J67" s="12" t="s">
        <v>13</v>
      </c>
      <c r="K67" s="12" t="s">
        <v>13</v>
      </c>
    </row>
    <row r="68">
      <c r="J68" s="12" t="s">
        <v>13</v>
      </c>
      <c r="K68" s="12" t="s">
        <v>13</v>
      </c>
    </row>
    <row r="69">
      <c r="J69" s="12" t="s">
        <v>13</v>
      </c>
      <c r="K69" s="12" t="s">
        <v>13</v>
      </c>
    </row>
    <row r="70">
      <c r="J70" s="12" t="s">
        <v>13</v>
      </c>
      <c r="K70" s="12" t="s">
        <v>13</v>
      </c>
    </row>
    <row r="71">
      <c r="J71" s="12" t="s">
        <v>13</v>
      </c>
      <c r="K71" s="12" t="s">
        <v>13</v>
      </c>
    </row>
    <row r="72">
      <c r="J72" s="12" t="s">
        <v>13</v>
      </c>
      <c r="K72" s="12" t="s">
        <v>13</v>
      </c>
    </row>
    <row r="73">
      <c r="J73" s="12" t="s">
        <v>13</v>
      </c>
      <c r="K73" s="12" t="s">
        <v>13</v>
      </c>
    </row>
    <row r="74">
      <c r="J74" s="12" t="s">
        <v>13</v>
      </c>
      <c r="K74" s="12" t="s">
        <v>13</v>
      </c>
    </row>
    <row r="75">
      <c r="J75" s="12" t="s">
        <v>13</v>
      </c>
      <c r="K75" s="12" t="s">
        <v>13</v>
      </c>
    </row>
    <row r="76">
      <c r="J76" s="12" t="s">
        <v>13</v>
      </c>
      <c r="K76" s="12" t="s">
        <v>13</v>
      </c>
    </row>
    <row r="77">
      <c r="J77" s="12" t="s">
        <v>13</v>
      </c>
      <c r="K77" s="12" t="s">
        <v>13</v>
      </c>
    </row>
    <row r="78">
      <c r="J78" s="12" t="s">
        <v>13</v>
      </c>
      <c r="K78" s="12" t="s">
        <v>13</v>
      </c>
    </row>
    <row r="79">
      <c r="J79" s="12" t="s">
        <v>13</v>
      </c>
      <c r="K79" s="12" t="s">
        <v>13</v>
      </c>
    </row>
    <row r="80">
      <c r="J80" s="12" t="s">
        <v>13</v>
      </c>
      <c r="K80" s="12" t="s">
        <v>13</v>
      </c>
    </row>
    <row r="81">
      <c r="J81" s="12" t="s">
        <v>13</v>
      </c>
      <c r="K81" s="12" t="s">
        <v>13</v>
      </c>
    </row>
    <row r="82">
      <c r="J82" s="12" t="s">
        <v>13</v>
      </c>
      <c r="K82" s="12" t="s">
        <v>13</v>
      </c>
    </row>
    <row r="83">
      <c r="J83" s="12" t="s">
        <v>13</v>
      </c>
      <c r="K83" s="12" t="s">
        <v>13</v>
      </c>
    </row>
    <row r="84">
      <c r="J84" s="12" t="s">
        <v>13</v>
      </c>
      <c r="K84" s="12" t="s">
        <v>13</v>
      </c>
    </row>
    <row r="85">
      <c r="J85" s="12" t="s">
        <v>13</v>
      </c>
      <c r="K85" s="12" t="s">
        <v>13</v>
      </c>
    </row>
    <row r="86">
      <c r="J86" s="12" t="s">
        <v>13</v>
      </c>
      <c r="K86" s="12" t="s">
        <v>13</v>
      </c>
    </row>
    <row r="87">
      <c r="J87" s="12" t="s">
        <v>13</v>
      </c>
      <c r="K87" s="12" t="s">
        <v>13</v>
      </c>
    </row>
    <row r="88">
      <c r="J88" s="12" t="s">
        <v>13</v>
      </c>
      <c r="K88" s="12" t="s">
        <v>13</v>
      </c>
    </row>
    <row r="89">
      <c r="J89" s="12" t="s">
        <v>13</v>
      </c>
      <c r="K89" s="12" t="s">
        <v>13</v>
      </c>
    </row>
    <row r="90">
      <c r="J90" s="12" t="s">
        <v>13</v>
      </c>
      <c r="K90" s="12" t="s">
        <v>13</v>
      </c>
    </row>
    <row r="91">
      <c r="J91" s="12" t="s">
        <v>13</v>
      </c>
      <c r="K91" s="12" t="s">
        <v>13</v>
      </c>
    </row>
    <row r="92">
      <c r="J92" s="12" t="s">
        <v>13</v>
      </c>
      <c r="K92" s="12" t="s">
        <v>13</v>
      </c>
    </row>
    <row r="93">
      <c r="J93" s="12" t="s">
        <v>13</v>
      </c>
      <c r="K93" s="12" t="s">
        <v>13</v>
      </c>
    </row>
    <row r="94">
      <c r="J94" s="12" t="s">
        <v>13</v>
      </c>
      <c r="K94" s="12" t="s">
        <v>13</v>
      </c>
    </row>
    <row r="95">
      <c r="J95" s="12" t="s">
        <v>13</v>
      </c>
      <c r="K95" s="12" t="s">
        <v>13</v>
      </c>
    </row>
    <row r="96">
      <c r="J96" s="12" t="s">
        <v>13</v>
      </c>
      <c r="K96" s="12" t="s">
        <v>13</v>
      </c>
    </row>
    <row r="97">
      <c r="J97" s="12" t="s">
        <v>13</v>
      </c>
      <c r="K97" s="12" t="s">
        <v>13</v>
      </c>
    </row>
    <row r="98">
      <c r="J98" s="12" t="s">
        <v>13</v>
      </c>
      <c r="K98" s="12" t="s">
        <v>13</v>
      </c>
    </row>
    <row r="99">
      <c r="J99" s="12" t="s">
        <v>13</v>
      </c>
      <c r="K99" s="12" t="s">
        <v>13</v>
      </c>
    </row>
    <row r="100">
      <c r="J100" s="12" t="s">
        <v>13</v>
      </c>
      <c r="K100" s="12" t="s">
        <v>13</v>
      </c>
    </row>
    <row r="101">
      <c r="J101" s="12" t="s">
        <v>13</v>
      </c>
      <c r="K101" s="12" t="s">
        <v>13</v>
      </c>
    </row>
    <row r="102">
      <c r="J102" s="12" t="s">
        <v>13</v>
      </c>
      <c r="K102" s="12" t="s">
        <v>13</v>
      </c>
    </row>
    <row r="103">
      <c r="J103" s="12" t="s">
        <v>13</v>
      </c>
      <c r="K103" s="12" t="s">
        <v>13</v>
      </c>
    </row>
    <row r="104">
      <c r="J104" s="12" t="s">
        <v>13</v>
      </c>
      <c r="K104" s="12" t="s">
        <v>13</v>
      </c>
    </row>
    <row r="105">
      <c r="J105" s="12" t="s">
        <v>13</v>
      </c>
      <c r="K105" s="12" t="s">
        <v>13</v>
      </c>
    </row>
    <row r="106">
      <c r="J106" s="12" t="s">
        <v>13</v>
      </c>
      <c r="K106" s="12" t="s">
        <v>13</v>
      </c>
    </row>
    <row r="107">
      <c r="J107" s="12" t="s">
        <v>13</v>
      </c>
      <c r="K107" s="12" t="s">
        <v>13</v>
      </c>
    </row>
    <row r="108">
      <c r="J108" s="12" t="s">
        <v>13</v>
      </c>
      <c r="K108" s="12" t="s">
        <v>13</v>
      </c>
    </row>
    <row r="109">
      <c r="J109" s="12" t="s">
        <v>13</v>
      </c>
      <c r="K109" s="12" t="s">
        <v>13</v>
      </c>
    </row>
    <row r="110">
      <c r="J110" s="12" t="s">
        <v>13</v>
      </c>
      <c r="K110" s="12" t="s">
        <v>13</v>
      </c>
    </row>
    <row r="111">
      <c r="J111" s="12" t="s">
        <v>13</v>
      </c>
      <c r="K111" s="12" t="s">
        <v>13</v>
      </c>
    </row>
    <row r="112">
      <c r="J112" s="12" t="s">
        <v>13</v>
      </c>
      <c r="K112" s="12" t="s">
        <v>13</v>
      </c>
    </row>
    <row r="113">
      <c r="J113" s="12" t="s">
        <v>13</v>
      </c>
      <c r="K113" s="12" t="s">
        <v>13</v>
      </c>
    </row>
    <row r="114">
      <c r="J114" s="12" t="s">
        <v>13</v>
      </c>
      <c r="K114" s="12" t="s">
        <v>13</v>
      </c>
    </row>
    <row r="115">
      <c r="J115" s="12" t="s">
        <v>13</v>
      </c>
      <c r="K115" s="12" t="s">
        <v>13</v>
      </c>
    </row>
    <row r="116">
      <c r="J116" s="12" t="s">
        <v>13</v>
      </c>
      <c r="K116" s="12" t="s">
        <v>13</v>
      </c>
    </row>
    <row r="117">
      <c r="J117" s="12" t="s">
        <v>13</v>
      </c>
      <c r="K117" s="12" t="s">
        <v>13</v>
      </c>
    </row>
    <row r="118">
      <c r="J118" s="12" t="s">
        <v>13</v>
      </c>
      <c r="K118" s="12" t="s">
        <v>13</v>
      </c>
    </row>
    <row r="119">
      <c r="J119" s="12" t="s">
        <v>13</v>
      </c>
      <c r="K119" s="12" t="s">
        <v>13</v>
      </c>
    </row>
    <row r="120">
      <c r="J120" s="12" t="s">
        <v>13</v>
      </c>
      <c r="K120" s="12" t="s">
        <v>13</v>
      </c>
    </row>
    <row r="121">
      <c r="J121" s="12" t="s">
        <v>13</v>
      </c>
      <c r="K121" s="12" t="s">
        <v>13</v>
      </c>
    </row>
    <row r="122">
      <c r="J122" s="12" t="s">
        <v>13</v>
      </c>
      <c r="K122" s="12" t="s">
        <v>13</v>
      </c>
    </row>
    <row r="123">
      <c r="J123" s="12" t="s">
        <v>13</v>
      </c>
      <c r="K123" s="12" t="s">
        <v>13</v>
      </c>
    </row>
    <row r="124">
      <c r="J124" s="12" t="s">
        <v>13</v>
      </c>
      <c r="K124" s="12" t="s">
        <v>13</v>
      </c>
    </row>
    <row r="125">
      <c r="J125" s="12" t="s">
        <v>13</v>
      </c>
      <c r="K125" s="12" t="s">
        <v>13</v>
      </c>
    </row>
    <row r="126">
      <c r="J126" s="12" t="s">
        <v>13</v>
      </c>
      <c r="K126" s="12" t="s">
        <v>13</v>
      </c>
    </row>
    <row r="127">
      <c r="J127" s="12" t="s">
        <v>13</v>
      </c>
      <c r="K127" s="12" t="s">
        <v>13</v>
      </c>
    </row>
    <row r="128">
      <c r="J128" s="12" t="s">
        <v>13</v>
      </c>
      <c r="K128" s="12" t="s">
        <v>13</v>
      </c>
    </row>
    <row r="129">
      <c r="J129" s="12" t="s">
        <v>13</v>
      </c>
      <c r="K129" s="12" t="s">
        <v>13</v>
      </c>
    </row>
    <row r="130">
      <c r="J130" s="12" t="s">
        <v>13</v>
      </c>
      <c r="K130" s="12" t="s">
        <v>13</v>
      </c>
    </row>
    <row r="131">
      <c r="J131" s="12" t="s">
        <v>13</v>
      </c>
      <c r="K131" s="12" t="s">
        <v>13</v>
      </c>
    </row>
    <row r="132">
      <c r="J132" s="12" t="s">
        <v>13</v>
      </c>
      <c r="K132" s="12" t="s">
        <v>13</v>
      </c>
    </row>
    <row r="133">
      <c r="J133" s="12" t="s">
        <v>13</v>
      </c>
      <c r="K133" s="12" t="s">
        <v>13</v>
      </c>
    </row>
    <row r="134">
      <c r="J134" s="12" t="s">
        <v>13</v>
      </c>
      <c r="K134" s="12" t="s">
        <v>13</v>
      </c>
    </row>
    <row r="135">
      <c r="J135" s="12" t="s">
        <v>13</v>
      </c>
      <c r="K135" s="12" t="s">
        <v>13</v>
      </c>
    </row>
    <row r="136">
      <c r="J136" s="12" t="s">
        <v>13</v>
      </c>
      <c r="K136" s="12" t="s">
        <v>13</v>
      </c>
    </row>
    <row r="137">
      <c r="J137" s="12" t="s">
        <v>13</v>
      </c>
      <c r="K137" s="12" t="s">
        <v>13</v>
      </c>
    </row>
    <row r="138">
      <c r="J138" s="12" t="s">
        <v>13</v>
      </c>
      <c r="K138" s="12" t="s">
        <v>13</v>
      </c>
    </row>
    <row r="139">
      <c r="J139" s="12" t="s">
        <v>13</v>
      </c>
      <c r="K139" s="12" t="s">
        <v>13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1.75"/>
    <col customWidth="1" min="9" max="9" width="19.5"/>
    <col customWidth="1" min="10" max="10" width="22.75"/>
  </cols>
  <sheetData>
    <row r="1" ht="22.5" customHeight="1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</row>
    <row r="2" ht="22.5" customHeight="1">
      <c r="A2" s="7">
        <f>IFERROR(__xludf.DUMMYFUNCTION("LET(
  raw, FILTER('Form Responses 1'!A2:K1000, 'Form Responses 1'!B2:B1000&lt;&gt;""""),
  sorted, SORT(raw, 1, FALSE),
  SORTN(sorted, 999, 2, 2, TRUE)
)"),46177.67511784722)</f>
        <v>46177.67512</v>
      </c>
      <c r="B2" s="4">
        <f>IFERROR(__xludf.DUMMYFUNCTION("""COMPUTED_VALUE"""),1.0)</f>
        <v>1</v>
      </c>
      <c r="C2" s="4">
        <f>IFERROR(__xludf.DUMMYFUNCTION("""COMPUTED_VALUE"""),2516.0)</f>
        <v>2516</v>
      </c>
      <c r="D2" s="4">
        <f>IFERROR(__xludf.DUMMYFUNCTION("""COMPUTED_VALUE"""),1877.0)</f>
        <v>1877</v>
      </c>
      <c r="E2" s="4">
        <f>IFERROR(__xludf.DUMMYFUNCTION("""COMPUTED_VALUE"""),179.0)</f>
        <v>179</v>
      </c>
      <c r="F2" s="4">
        <f>IFERROR(__xludf.DUMMYFUNCTION("""COMPUTED_VALUE"""),12.0)</f>
        <v>12</v>
      </c>
      <c r="G2" s="4">
        <f>IFERROR(__xludf.DUMMYFUNCTION("""COMPUTED_VALUE"""),1.0)</f>
        <v>1</v>
      </c>
      <c r="H2" s="4">
        <f>IFERROR(__xludf.DUMMYFUNCTION("""COMPUTED_VALUE"""),1340052.0)</f>
        <v>1340052</v>
      </c>
      <c r="I2" s="4">
        <f>IFERROR(__xludf.DUMMYFUNCTION("""COMPUTED_VALUE"""),100.0)</f>
        <v>100</v>
      </c>
      <c r="J2" s="4">
        <f>IFERROR(__xludf.DUMMYFUNCTION("""COMPUTED_VALUE"""),4864.0)</f>
        <v>4864</v>
      </c>
      <c r="K2" s="4">
        <f>IFERROR(__xludf.DUMMYFUNCTION("""COMPUTED_VALUE"""),5023792.128)</f>
        <v>5023792.128</v>
      </c>
    </row>
    <row r="3" ht="22.5" customHeight="1">
      <c r="A3" s="13">
        <f>IFERROR(__xludf.DUMMYFUNCTION("""COMPUTED_VALUE"""),46177.64920665509)</f>
        <v>46177.64921</v>
      </c>
      <c r="B3" s="5">
        <f>IFERROR(__xludf.DUMMYFUNCTION("""COMPUTED_VALUE"""),2.0)</f>
        <v>2</v>
      </c>
      <c r="C3" s="5">
        <f>IFERROR(__xludf.DUMMYFUNCTION("""COMPUTED_VALUE"""),1984.0)</f>
        <v>1984</v>
      </c>
      <c r="D3" s="5">
        <f>IFERROR(__xludf.DUMMYFUNCTION("""COMPUTED_VALUE"""),1826.0)</f>
        <v>1826</v>
      </c>
      <c r="E3" s="5">
        <f>IFERROR(__xludf.DUMMYFUNCTION("""COMPUTED_VALUE"""),278.0)</f>
        <v>278</v>
      </c>
      <c r="F3" s="5">
        <f>IFERROR(__xludf.DUMMYFUNCTION("""COMPUTED_VALUE"""),2.0)</f>
        <v>2</v>
      </c>
      <c r="G3" s="5">
        <f>IFERROR(__xludf.DUMMYFUNCTION("""COMPUTED_VALUE"""),1.0)</f>
        <v>1</v>
      </c>
      <c r="H3" s="4">
        <f>IFERROR(__xludf.DUMMYFUNCTION("""COMPUTED_VALUE"""),5098755.0)</f>
        <v>5098755</v>
      </c>
      <c r="I3" s="5">
        <f>IFERROR(__xludf.DUMMYFUNCTION("""COMPUTED_VALUE"""),50.0)</f>
        <v>50</v>
      </c>
      <c r="J3" s="5">
        <f>IFERROR(__xludf.DUMMYFUNCTION("""COMPUTED_VALUE"""),4370.0)</f>
        <v>4370</v>
      </c>
      <c r="K3" s="4">
        <f>IFERROR(__xludf.DUMMYFUNCTION("""COMPUTED_VALUE"""),1.959663135E7)</f>
        <v>19596631.35</v>
      </c>
    </row>
    <row r="4" ht="22.5" customHeight="1">
      <c r="A4" s="13">
        <f>IFERROR(__xludf.DUMMYFUNCTION("""COMPUTED_VALUE"""),46177.65659006944)</f>
        <v>46177.65659</v>
      </c>
      <c r="B4" s="5">
        <f>IFERROR(__xludf.DUMMYFUNCTION("""COMPUTED_VALUE"""),3.0)</f>
        <v>3</v>
      </c>
      <c r="C4" s="5">
        <f>IFERROR(__xludf.DUMMYFUNCTION("""COMPUTED_VALUE"""),2036.0)</f>
        <v>2036</v>
      </c>
      <c r="D4" s="5">
        <f>IFERROR(__xludf.DUMMYFUNCTION("""COMPUTED_VALUE"""),1528.0)</f>
        <v>1528</v>
      </c>
      <c r="E4" s="5">
        <f>IFERROR(__xludf.DUMMYFUNCTION("""COMPUTED_VALUE"""),0.0)</f>
        <v>0</v>
      </c>
      <c r="F4" s="5">
        <f>IFERROR(__xludf.DUMMYFUNCTION("""COMPUTED_VALUE"""),0.0)</f>
        <v>0</v>
      </c>
      <c r="G4" s="5">
        <f>IFERROR(__xludf.DUMMYFUNCTION("""COMPUTED_VALUE"""),1.0)</f>
        <v>1</v>
      </c>
      <c r="H4" s="5">
        <f>IFERROR(__xludf.DUMMYFUNCTION("""COMPUTED_VALUE"""),450186.0)</f>
        <v>450186</v>
      </c>
      <c r="I4" s="5">
        <f>IFERROR(__xludf.DUMMYFUNCTION("""COMPUTED_VALUE"""),100.0)</f>
        <v>100</v>
      </c>
      <c r="J4" s="5">
        <f>IFERROR(__xludf.DUMMYFUNCTION("""COMPUTED_VALUE"""),3844.0)</f>
        <v>3844</v>
      </c>
      <c r="K4" s="4">
        <f>IFERROR(__xludf.DUMMYFUNCTION("""COMPUTED_VALUE"""),549638.184)</f>
        <v>549638.184</v>
      </c>
    </row>
    <row r="5">
      <c r="A5" s="14">
        <f>IFERROR(__xludf.DUMMYFUNCTION("""COMPUTED_VALUE"""),46177.72154894676)</f>
        <v>46177.72155</v>
      </c>
      <c r="B5" s="12">
        <f>IFERROR(__xludf.DUMMYFUNCTION("""COMPUTED_VALUE"""),4.0)</f>
        <v>4</v>
      </c>
      <c r="C5" s="12">
        <f>IFERROR(__xludf.DUMMYFUNCTION("""COMPUTED_VALUE"""),2397.0)</f>
        <v>2397</v>
      </c>
      <c r="D5" s="12">
        <f>IFERROR(__xludf.DUMMYFUNCTION("""COMPUTED_VALUE"""),1299.0)</f>
        <v>1299</v>
      </c>
      <c r="E5" s="12">
        <f>IFERROR(__xludf.DUMMYFUNCTION("""COMPUTED_VALUE"""),55.0)</f>
        <v>55</v>
      </c>
      <c r="F5" s="12">
        <f>IFERROR(__xludf.DUMMYFUNCTION("""COMPUTED_VALUE"""),26.0)</f>
        <v>26</v>
      </c>
      <c r="G5" s="12">
        <f>IFERROR(__xludf.DUMMYFUNCTION("""COMPUTED_VALUE"""),1.0)</f>
        <v>1</v>
      </c>
      <c r="H5" s="12">
        <f>IFERROR(__xludf.DUMMYFUNCTION("""COMPUTED_VALUE"""),570058.602)</f>
        <v>570058.602</v>
      </c>
      <c r="I5" s="12">
        <f>IFERROR(__xludf.DUMMYFUNCTION("""COMPUTED_VALUE"""),120.0)</f>
        <v>120</v>
      </c>
      <c r="J5" s="12">
        <f>IFERROR(__xludf.DUMMYFUNCTION("""COMPUTED_VALUE"""),4057.0)</f>
        <v>4057</v>
      </c>
      <c r="K5" s="12">
        <f>IFERROR(__xludf.DUMMYFUNCTION("""COMPUTED_VALUE"""),1274135.7483139997)</f>
        <v>1274135.748</v>
      </c>
    </row>
    <row r="6">
      <c r="A6" s="14">
        <f>IFERROR(__xludf.DUMMYFUNCTION("""COMPUTED_VALUE"""),46177.5324434375)</f>
        <v>46177.53244</v>
      </c>
      <c r="B6" s="12">
        <f>IFERROR(__xludf.DUMMYFUNCTION("""COMPUTED_VALUE"""),5.0)</f>
        <v>5</v>
      </c>
      <c r="C6" s="12">
        <f>IFERROR(__xludf.DUMMYFUNCTION("""COMPUTED_VALUE"""),1777.0)</f>
        <v>1777</v>
      </c>
      <c r="D6" s="12">
        <f>IFERROR(__xludf.DUMMYFUNCTION("""COMPUTED_VALUE"""),1829.0)</f>
        <v>1829</v>
      </c>
      <c r="E6" s="12">
        <f>IFERROR(__xludf.DUMMYFUNCTION("""COMPUTED_VALUE"""),265.0)</f>
        <v>265</v>
      </c>
      <c r="F6" s="12">
        <f>IFERROR(__xludf.DUMMYFUNCTION("""COMPUTED_VALUE"""),2.0)</f>
        <v>2</v>
      </c>
      <c r="G6" s="12">
        <f>IFERROR(__xludf.DUMMYFUNCTION("""COMPUTED_VALUE"""),1.0)</f>
        <v>1</v>
      </c>
      <c r="H6" s="12">
        <f>IFERROR(__xludf.DUMMYFUNCTION("""COMPUTED_VALUE"""),1955561.979)</f>
        <v>1955561.979</v>
      </c>
      <c r="I6" s="12">
        <f>IFERROR(__xludf.DUMMYFUNCTION("""COMPUTED_VALUE"""),100.0)</f>
        <v>100</v>
      </c>
      <c r="J6" s="12">
        <f>IFERROR(__xludf.DUMMYFUNCTION("""COMPUTED_VALUE"""),4153.0)</f>
        <v>4153</v>
      </c>
      <c r="K6" s="12">
        <f>IFERROR(__xludf.DUMMYFUNCTION("""COMPUTED_VALUE"""),6845647.298787)</f>
        <v>6845647.299</v>
      </c>
    </row>
    <row r="7">
      <c r="A7" s="14">
        <f>IFERROR(__xludf.DUMMYFUNCTION("""COMPUTED_VALUE"""),46177.562045300925)</f>
        <v>46177.56205</v>
      </c>
      <c r="B7" s="12">
        <f>IFERROR(__xludf.DUMMYFUNCTION("""COMPUTED_VALUE"""),6.0)</f>
        <v>6</v>
      </c>
      <c r="C7" s="12">
        <f>IFERROR(__xludf.DUMMYFUNCTION("""COMPUTED_VALUE"""),4511.0)</f>
        <v>4511</v>
      </c>
      <c r="D7" s="12">
        <f>IFERROR(__xludf.DUMMYFUNCTION("""COMPUTED_VALUE"""),3665.0)</f>
        <v>3665</v>
      </c>
      <c r="E7" s="12">
        <f>IFERROR(__xludf.DUMMYFUNCTION("""COMPUTED_VALUE"""),689.0)</f>
        <v>689</v>
      </c>
      <c r="F7" s="12">
        <f>IFERROR(__xludf.DUMMYFUNCTION("""COMPUTED_VALUE"""),146.0)</f>
        <v>146</v>
      </c>
      <c r="G7" s="12">
        <f>IFERROR(__xludf.DUMMYFUNCTION("""COMPUTED_VALUE"""),1.0)</f>
        <v>1</v>
      </c>
      <c r="H7" s="12">
        <f>IFERROR(__xludf.DUMMYFUNCTION("""COMPUTED_VALUE"""),454341.909)</f>
        <v>454341.909</v>
      </c>
      <c r="I7" s="12">
        <f>IFERROR(__xludf.DUMMYFUNCTION("""COMPUTED_VALUE"""),100.0)</f>
        <v>100</v>
      </c>
      <c r="J7" s="12">
        <f>IFERROR(__xludf.DUMMYFUNCTION("""COMPUTED_VALUE"""),9291.0)</f>
        <v>9291</v>
      </c>
      <c r="K7" s="12">
        <f>IFERROR(__xludf.DUMMYFUNCTION("""COMPUTED_VALUE"""),1367095.476519)</f>
        <v>1367095.477</v>
      </c>
    </row>
    <row r="8">
      <c r="A8" s="14">
        <f>IFERROR(__xludf.DUMMYFUNCTION("""COMPUTED_VALUE"""),46177.46790392361)</f>
        <v>46177.4679</v>
      </c>
      <c r="B8" s="12">
        <f>IFERROR(__xludf.DUMMYFUNCTION("""COMPUTED_VALUE"""),7.0)</f>
        <v>7</v>
      </c>
      <c r="C8" s="12">
        <f>IFERROR(__xludf.DUMMYFUNCTION("""COMPUTED_VALUE"""),1809.0)</f>
        <v>1809</v>
      </c>
      <c r="D8" s="12">
        <f>IFERROR(__xludf.DUMMYFUNCTION("""COMPUTED_VALUE"""),1523.0)</f>
        <v>1523</v>
      </c>
      <c r="E8" s="12">
        <f>IFERROR(__xludf.DUMMYFUNCTION("""COMPUTED_VALUE"""),71.0)</f>
        <v>71</v>
      </c>
      <c r="F8" s="12">
        <f>IFERROR(__xludf.DUMMYFUNCTION("""COMPUTED_VALUE"""),2.0)</f>
        <v>2</v>
      </c>
      <c r="G8" s="12">
        <f>IFERROR(__xludf.DUMMYFUNCTION("""COMPUTED_VALUE"""),1.0)</f>
        <v>1</v>
      </c>
      <c r="H8" s="12">
        <f>IFERROR(__xludf.DUMMYFUNCTION("""COMPUTED_VALUE"""),1950087.481)</f>
        <v>1950087.481</v>
      </c>
      <c r="I8" s="12">
        <f>IFERROR(__xludf.DUMMYFUNCTION("""COMPUTED_VALUE"""),100.0)</f>
        <v>100</v>
      </c>
      <c r="J8" s="12">
        <f>IFERROR(__xludf.DUMMYFUNCTION("""COMPUTED_VALUE"""),3685.0)</f>
        <v>3685</v>
      </c>
      <c r="K8" s="12">
        <f>IFERROR(__xludf.DUMMYFUNCTION("""COMPUTED_VALUE"""),6054040.367485)</f>
        <v>6054040.367</v>
      </c>
    </row>
    <row r="9">
      <c r="A9" s="14">
        <f>IFERROR(__xludf.DUMMYFUNCTION("""COMPUTED_VALUE"""),46177.58881422454)</f>
        <v>46177.58881</v>
      </c>
      <c r="B9" s="12">
        <f>IFERROR(__xludf.DUMMYFUNCTION("""COMPUTED_VALUE"""),8.0)</f>
        <v>8</v>
      </c>
      <c r="C9" s="12">
        <f>IFERROR(__xludf.DUMMYFUNCTION("""COMPUTED_VALUE"""),3855.0)</f>
        <v>3855</v>
      </c>
      <c r="D9" s="12">
        <f>IFERROR(__xludf.DUMMYFUNCTION("""COMPUTED_VALUE"""),3055.0)</f>
        <v>3055</v>
      </c>
      <c r="E9" s="12">
        <f>IFERROR(__xludf.DUMMYFUNCTION("""COMPUTED_VALUE"""),219.0)</f>
        <v>219</v>
      </c>
      <c r="F9" s="12">
        <f>IFERROR(__xludf.DUMMYFUNCTION("""COMPUTED_VALUE"""),109.0)</f>
        <v>109</v>
      </c>
      <c r="G9" s="12">
        <f>IFERROR(__xludf.DUMMYFUNCTION("""COMPUTED_VALUE"""),1.0)</f>
        <v>1</v>
      </c>
      <c r="H9" s="12">
        <f>IFERROR(__xludf.DUMMYFUNCTION("""COMPUTED_VALUE"""),814946.402)</f>
        <v>814946.402</v>
      </c>
      <c r="I9" s="12">
        <f>IFERROR(__xludf.DUMMYFUNCTION("""COMPUTED_VALUE"""),100.0)</f>
        <v>100</v>
      </c>
      <c r="J9" s="12">
        <f>IFERROR(__xludf.DUMMYFUNCTION("""COMPUTED_VALUE"""),7518.0)</f>
        <v>7518</v>
      </c>
      <c r="K9" s="12">
        <f>IFERROR(__xludf.DUMMYFUNCTION("""COMPUTED_VALUE"""),3817237.450236)</f>
        <v>3817237.45</v>
      </c>
    </row>
    <row r="10">
      <c r="A10" s="14">
        <f>IFERROR(__xludf.DUMMYFUNCTION("""COMPUTED_VALUE"""),46176.972165300926)</f>
        <v>46176.97217</v>
      </c>
      <c r="B10" s="12">
        <f>IFERROR(__xludf.DUMMYFUNCTION("""COMPUTED_VALUE"""),9.0)</f>
        <v>9</v>
      </c>
      <c r="C10" s="12">
        <f>IFERROR(__xludf.DUMMYFUNCTION("""COMPUTED_VALUE"""),3869.0)</f>
        <v>3869</v>
      </c>
      <c r="D10" s="12">
        <f>IFERROR(__xludf.DUMMYFUNCTION("""COMPUTED_VALUE"""),2763.0)</f>
        <v>2763</v>
      </c>
      <c r="E10" s="12">
        <f>IFERROR(__xludf.DUMMYFUNCTION("""COMPUTED_VALUE"""),360.0)</f>
        <v>360</v>
      </c>
      <c r="F10" s="12">
        <f>IFERROR(__xludf.DUMMYFUNCTION("""COMPUTED_VALUE"""),1.0)</f>
        <v>1</v>
      </c>
      <c r="G10" s="12">
        <f>IFERROR(__xludf.DUMMYFUNCTION("""COMPUTED_VALUE"""),1.0)</f>
        <v>1</v>
      </c>
      <c r="H10" s="12">
        <f>IFERROR(__xludf.DUMMYFUNCTION("""COMPUTED_VALUE"""),927658.0)</f>
        <v>927658</v>
      </c>
      <c r="I10" s="12">
        <f>IFERROR(__xludf.DUMMYFUNCTION("""COMPUTED_VALUE"""),100.0)</f>
        <v>100</v>
      </c>
      <c r="J10" s="12">
        <f>IFERROR(__xludf.DUMMYFUNCTION("""COMPUTED_VALUE"""),7273.0)</f>
        <v>7273</v>
      </c>
      <c r="K10" s="12">
        <f>IFERROR(__xludf.DUMMYFUNCTION("""COMPUTED_VALUE"""),4512591.034000001)</f>
        <v>4512591.034</v>
      </c>
    </row>
    <row r="11">
      <c r="A11" s="14">
        <f>IFERROR(__xludf.DUMMYFUNCTION("""COMPUTED_VALUE"""),46177.670615763884)</f>
        <v>46177.67062</v>
      </c>
      <c r="B11" s="12">
        <f>IFERROR(__xludf.DUMMYFUNCTION("""COMPUTED_VALUE"""),10.0)</f>
        <v>10</v>
      </c>
      <c r="C11" s="12">
        <f>IFERROR(__xludf.DUMMYFUNCTION("""COMPUTED_VALUE"""),1883.0)</f>
        <v>1883</v>
      </c>
      <c r="D11" s="12">
        <f>IFERROR(__xludf.DUMMYFUNCTION("""COMPUTED_VALUE"""),1514.0)</f>
        <v>1514</v>
      </c>
      <c r="E11" s="12">
        <f>IFERROR(__xludf.DUMMYFUNCTION("""COMPUTED_VALUE"""),92.0)</f>
        <v>92</v>
      </c>
      <c r="F11" s="12">
        <f>IFERROR(__xludf.DUMMYFUNCTION("""COMPUTED_VALUE"""),1.0)</f>
        <v>1</v>
      </c>
      <c r="G11" s="12">
        <f>IFERROR(__xludf.DUMMYFUNCTION("""COMPUTED_VALUE"""),0.0)</f>
        <v>0</v>
      </c>
      <c r="H11" s="12">
        <f>IFERROR(__xludf.DUMMYFUNCTION("""COMPUTED_VALUE"""),725861.0)</f>
        <v>725861</v>
      </c>
      <c r="I11" s="12">
        <f>IFERROR(__xludf.DUMMYFUNCTION("""COMPUTED_VALUE"""),118.0)</f>
        <v>118</v>
      </c>
      <c r="J11" s="12">
        <f>IFERROR(__xludf.DUMMYFUNCTION("""COMPUTED_VALUE"""),3490.0)</f>
        <v>3490</v>
      </c>
      <c r="K11" s="12">
        <f>IFERROR(__xludf.DUMMYFUNCTION("""COMPUTED_VALUE"""),1624671.8391525424)</f>
        <v>1624671.839</v>
      </c>
    </row>
    <row r="12">
      <c r="A12" s="14">
        <f>IFERROR(__xludf.DUMMYFUNCTION("""COMPUTED_VALUE"""),46176.945609166665)</f>
        <v>46176.94561</v>
      </c>
      <c r="B12" s="12">
        <f>IFERROR(__xludf.DUMMYFUNCTION("""COMPUTED_VALUE"""),11.0)</f>
        <v>11</v>
      </c>
      <c r="C12" s="12">
        <f>IFERROR(__xludf.DUMMYFUNCTION("""COMPUTED_VALUE"""),1729.0)</f>
        <v>1729</v>
      </c>
      <c r="D12" s="12">
        <f>IFERROR(__xludf.DUMMYFUNCTION("""COMPUTED_VALUE"""),1482.0)</f>
        <v>1482</v>
      </c>
      <c r="E12" s="12">
        <f>IFERROR(__xludf.DUMMYFUNCTION("""COMPUTED_VALUE"""),99.0)</f>
        <v>99</v>
      </c>
      <c r="F12" s="12">
        <f>IFERROR(__xludf.DUMMYFUNCTION("""COMPUTED_VALUE"""),2.0)</f>
        <v>2</v>
      </c>
      <c r="G12" s="12">
        <f>IFERROR(__xludf.DUMMYFUNCTION("""COMPUTED_VALUE"""),1.0)</f>
        <v>1</v>
      </c>
      <c r="H12" s="12">
        <f>IFERROR(__xludf.DUMMYFUNCTION("""COMPUTED_VALUE"""),3184887.93)</f>
        <v>3184887.93</v>
      </c>
      <c r="I12" s="12">
        <f>IFERROR(__xludf.DUMMYFUNCTION("""COMPUTED_VALUE"""),100.0)</f>
        <v>100</v>
      </c>
      <c r="J12" s="12">
        <f>IFERROR(__xludf.DUMMYFUNCTION("""COMPUTED_VALUE"""),3592.0)</f>
        <v>3592</v>
      </c>
      <c r="K12" s="12">
        <f>IFERROR(__xludf.DUMMYFUNCTION("""COMPUTED_VALUE"""),1.0336655044560002E7)</f>
        <v>10336655.04</v>
      </c>
    </row>
    <row r="13">
      <c r="A13" s="14">
        <f>IFERROR(__xludf.DUMMYFUNCTION("""COMPUTED_VALUE"""),46177.65679991899)</f>
        <v>46177.6568</v>
      </c>
      <c r="B13" s="12">
        <f>IFERROR(__xludf.DUMMYFUNCTION("""COMPUTED_VALUE"""),12.0)</f>
        <v>12</v>
      </c>
      <c r="C13" s="12">
        <f>IFERROR(__xludf.DUMMYFUNCTION("""COMPUTED_VALUE"""),1996.0)</f>
        <v>1996</v>
      </c>
      <c r="D13" s="12">
        <f>IFERROR(__xludf.DUMMYFUNCTION("""COMPUTED_VALUE"""),1809.0)</f>
        <v>1809</v>
      </c>
      <c r="E13" s="12">
        <f>IFERROR(__xludf.DUMMYFUNCTION("""COMPUTED_VALUE"""),267.0)</f>
        <v>267</v>
      </c>
      <c r="F13" s="12">
        <f>IFERROR(__xludf.DUMMYFUNCTION("""COMPUTED_VALUE"""),0.0)</f>
        <v>0</v>
      </c>
      <c r="G13" s="12">
        <f>IFERROR(__xludf.DUMMYFUNCTION("""COMPUTED_VALUE"""),0.0)</f>
        <v>0</v>
      </c>
      <c r="H13" s="12">
        <f>IFERROR(__xludf.DUMMYFUNCTION("""COMPUTED_VALUE"""),3470952.856)</f>
        <v>3470952.856</v>
      </c>
      <c r="I13" s="12">
        <f>IFERROR(__xludf.DUMMYFUNCTION("""COMPUTED_VALUE"""),105.0)</f>
        <v>105</v>
      </c>
      <c r="J13" s="12">
        <f>IFERROR(__xludf.DUMMYFUNCTION("""COMPUTED_VALUE"""),4072.0)</f>
        <v>4072</v>
      </c>
      <c r="K13" s="12">
        <f>IFERROR(__xludf.DUMMYFUNCTION("""COMPUTED_VALUE"""),1.2942369172489144E7)</f>
        <v>12942369.17</v>
      </c>
    </row>
    <row r="14">
      <c r="A14" s="14">
        <f>IFERROR(__xludf.DUMMYFUNCTION("""COMPUTED_VALUE"""),46177.07146771991)</f>
        <v>46177.07147</v>
      </c>
      <c r="B14" s="12">
        <f>IFERROR(__xludf.DUMMYFUNCTION("""COMPUTED_VALUE"""),13.0)</f>
        <v>13</v>
      </c>
      <c r="C14" s="12">
        <f>IFERROR(__xludf.DUMMYFUNCTION("""COMPUTED_VALUE"""),1397.0)</f>
        <v>1397</v>
      </c>
      <c r="D14" s="12">
        <f>IFERROR(__xludf.DUMMYFUNCTION("""COMPUTED_VALUE"""),737.0)</f>
        <v>737</v>
      </c>
      <c r="E14" s="12">
        <f>IFERROR(__xludf.DUMMYFUNCTION("""COMPUTED_VALUE"""),5.0)</f>
        <v>5</v>
      </c>
      <c r="F14" s="12">
        <f>IFERROR(__xludf.DUMMYFUNCTION("""COMPUTED_VALUE"""),2.0)</f>
        <v>2</v>
      </c>
      <c r="G14" s="12">
        <f>IFERROR(__xludf.DUMMYFUNCTION("""COMPUTED_VALUE"""),1.0)</f>
        <v>1</v>
      </c>
      <c r="H14" s="12">
        <f>IFERROR(__xludf.DUMMYFUNCTION("""COMPUTED_VALUE"""),1513542.47)</f>
        <v>1513542.47</v>
      </c>
      <c r="I14" s="12">
        <f>IFERROR(__xludf.DUMMYFUNCTION("""COMPUTED_VALUE"""),100.0)</f>
        <v>100</v>
      </c>
      <c r="J14" s="12">
        <f>IFERROR(__xludf.DUMMYFUNCTION("""COMPUTED_VALUE"""),2421.0)</f>
        <v>2421</v>
      </c>
      <c r="K14" s="12">
        <f>IFERROR(__xludf.DUMMYFUNCTION("""COMPUTED_VALUE"""),2920555.1198699996)</f>
        <v>2920555.12</v>
      </c>
    </row>
    <row r="15">
      <c r="A15" s="14">
        <f>IFERROR(__xludf.DUMMYFUNCTION("""COMPUTED_VALUE"""),46176.93308969907)</f>
        <v>46176.93309</v>
      </c>
      <c r="B15" s="12">
        <f>IFERROR(__xludf.DUMMYFUNCTION("""COMPUTED_VALUE"""),14.0)</f>
        <v>14</v>
      </c>
      <c r="C15" s="12">
        <f>IFERROR(__xludf.DUMMYFUNCTION("""COMPUTED_VALUE"""),3447.0)</f>
        <v>3447</v>
      </c>
      <c r="D15" s="12">
        <f>IFERROR(__xludf.DUMMYFUNCTION("""COMPUTED_VALUE"""),2947.0)</f>
        <v>2947</v>
      </c>
      <c r="E15" s="12">
        <f>IFERROR(__xludf.DUMMYFUNCTION("""COMPUTED_VALUE"""),666.0)</f>
        <v>666</v>
      </c>
      <c r="F15" s="12">
        <f>IFERROR(__xludf.DUMMYFUNCTION("""COMPUTED_VALUE"""),322.0)</f>
        <v>322</v>
      </c>
      <c r="G15" s="12">
        <f>IFERROR(__xludf.DUMMYFUNCTION("""COMPUTED_VALUE"""),1.0)</f>
        <v>1</v>
      </c>
      <c r="H15" s="12">
        <f>IFERROR(__xludf.DUMMYFUNCTION("""COMPUTED_VALUE"""),651275.0)</f>
        <v>651275</v>
      </c>
      <c r="I15" s="12">
        <f>IFERROR(__xludf.DUMMYFUNCTION("""COMPUTED_VALUE"""),85.0)</f>
        <v>85</v>
      </c>
      <c r="J15" s="12">
        <f>IFERROR(__xludf.DUMMYFUNCTION("""COMPUTED_VALUE"""),7662.0)</f>
        <v>7662</v>
      </c>
      <c r="K15" s="12">
        <f>IFERROR(__xludf.DUMMYFUNCTION("""COMPUTED_VALUE"""),2220932.108823529)</f>
        <v>2220932.109</v>
      </c>
    </row>
    <row r="16">
      <c r="A16" s="14">
        <f>IFERROR(__xludf.DUMMYFUNCTION("""COMPUTED_VALUE"""),46177.58047071759)</f>
        <v>46177.58047</v>
      </c>
      <c r="B16" s="12">
        <f>IFERROR(__xludf.DUMMYFUNCTION("""COMPUTED_VALUE"""),15.0)</f>
        <v>15</v>
      </c>
      <c r="C16" s="12">
        <f>IFERROR(__xludf.DUMMYFUNCTION("""COMPUTED_VALUE"""),2291.0)</f>
        <v>2291</v>
      </c>
      <c r="D16" s="12">
        <f>IFERROR(__xludf.DUMMYFUNCTION("""COMPUTED_VALUE"""),1946.0)</f>
        <v>1946</v>
      </c>
      <c r="E16" s="12">
        <f>IFERROR(__xludf.DUMMYFUNCTION("""COMPUTED_VALUE"""),287.0)</f>
        <v>287</v>
      </c>
      <c r="F16" s="12">
        <f>IFERROR(__xludf.DUMMYFUNCTION("""COMPUTED_VALUE"""),2.0)</f>
        <v>2</v>
      </c>
      <c r="G16" s="12">
        <f>IFERROR(__xludf.DUMMYFUNCTION("""COMPUTED_VALUE"""),1.0)</f>
        <v>1</v>
      </c>
      <c r="H16" s="12">
        <f>IFERROR(__xludf.DUMMYFUNCTION("""COMPUTED_VALUE"""),2474244.227)</f>
        <v>2474244.227</v>
      </c>
      <c r="I16" s="12">
        <f>IFERROR(__xludf.DUMMYFUNCTION("""COMPUTED_VALUE"""),100.0)</f>
        <v>100</v>
      </c>
      <c r="J16" s="12">
        <f>IFERROR(__xludf.DUMMYFUNCTION("""COMPUTED_VALUE"""),4806.0)</f>
        <v>4806</v>
      </c>
      <c r="K16" s="12">
        <f>IFERROR(__xludf.DUMMYFUNCTION("""COMPUTED_VALUE"""),1.0414814554962002E7)</f>
        <v>10414814.55</v>
      </c>
    </row>
    <row r="17">
      <c r="A17" s="14">
        <f>IFERROR(__xludf.DUMMYFUNCTION("""COMPUTED_VALUE"""),46177.58003070602)</f>
        <v>46177.58003</v>
      </c>
      <c r="B17" s="12">
        <f>IFERROR(__xludf.DUMMYFUNCTION("""COMPUTED_VALUE"""),16.0)</f>
        <v>16</v>
      </c>
      <c r="C17" s="12">
        <f>IFERROR(__xludf.DUMMYFUNCTION("""COMPUTED_VALUE"""),2497.0)</f>
        <v>2497</v>
      </c>
      <c r="D17" s="12">
        <f>IFERROR(__xludf.DUMMYFUNCTION("""COMPUTED_VALUE"""),2090.0)</f>
        <v>2090</v>
      </c>
      <c r="E17" s="12">
        <f>IFERROR(__xludf.DUMMYFUNCTION("""COMPUTED_VALUE"""),270.0)</f>
        <v>270</v>
      </c>
      <c r="F17" s="12">
        <f>IFERROR(__xludf.DUMMYFUNCTION("""COMPUTED_VALUE"""),2.0)</f>
        <v>2</v>
      </c>
      <c r="G17" s="12">
        <f>IFERROR(__xludf.DUMMYFUNCTION("""COMPUTED_VALUE"""),1.0)</f>
        <v>1</v>
      </c>
      <c r="H17" s="12">
        <f>IFERROR(__xludf.DUMMYFUNCTION("""COMPUTED_VALUE"""),3162000.0)</f>
        <v>3162000</v>
      </c>
      <c r="I17" s="12">
        <f>IFERROR(__xludf.DUMMYFUNCTION("""COMPUTED_VALUE"""),100.0)</f>
        <v>100</v>
      </c>
      <c r="J17" s="12">
        <f>IFERROR(__xludf.DUMMYFUNCTION("""COMPUTED_VALUE"""),5139.0)</f>
        <v>5139</v>
      </c>
      <c r="K17" s="12">
        <f>IFERROR(__xludf.DUMMYFUNCTION("""COMPUTED_VALUE"""),1.4670817200000001E7)</f>
        <v>14670817.2</v>
      </c>
    </row>
    <row r="18">
      <c r="A18" s="14">
        <f>IFERROR(__xludf.DUMMYFUNCTION("""COMPUTED_VALUE"""),46177.55275981482)</f>
        <v>46177.55276</v>
      </c>
      <c r="B18" s="12">
        <f>IFERROR(__xludf.DUMMYFUNCTION("""COMPUTED_VALUE"""),18.0)</f>
        <v>18</v>
      </c>
      <c r="C18" s="12">
        <f>IFERROR(__xludf.DUMMYFUNCTION("""COMPUTED_VALUE"""),2572.0)</f>
        <v>2572</v>
      </c>
      <c r="D18" s="12">
        <f>IFERROR(__xludf.DUMMYFUNCTION("""COMPUTED_VALUE"""),1835.0)</f>
        <v>1835</v>
      </c>
      <c r="E18" s="12">
        <f>IFERROR(__xludf.DUMMYFUNCTION("""COMPUTED_VALUE"""),262.0)</f>
        <v>262</v>
      </c>
      <c r="F18" s="12">
        <f>IFERROR(__xludf.DUMMYFUNCTION("""COMPUTED_VALUE"""),2.0)</f>
        <v>2</v>
      </c>
      <c r="G18" s="12">
        <f>IFERROR(__xludf.DUMMYFUNCTION("""COMPUTED_VALUE"""),1.0)</f>
        <v>1</v>
      </c>
      <c r="H18" s="12">
        <f>IFERROR(__xludf.DUMMYFUNCTION("""COMPUTED_VALUE"""),3216513.442)</f>
        <v>3216513.442</v>
      </c>
      <c r="I18" s="12">
        <f>IFERROR(__xludf.DUMMYFUNCTION("""COMPUTED_VALUE"""),50.0)</f>
        <v>50</v>
      </c>
      <c r="J18" s="12">
        <f>IFERROR(__xludf.DUMMYFUNCTION("""COMPUTED_VALUE"""),4951.0)</f>
        <v>4951</v>
      </c>
      <c r="K18" s="12">
        <f>IFERROR(__xludf.DUMMYFUNCTION("""COMPUTED_VALUE"""),1.2883063651341999E7)</f>
        <v>12883063.65</v>
      </c>
    </row>
    <row r="19">
      <c r="A19" s="14">
        <f>IFERROR(__xludf.DUMMYFUNCTION("""COMPUTED_VALUE"""),46177.05778828704)</f>
        <v>46177.05779</v>
      </c>
      <c r="B19" s="12">
        <f>IFERROR(__xludf.DUMMYFUNCTION("""COMPUTED_VALUE"""),19.0)</f>
        <v>19</v>
      </c>
      <c r="C19" s="12">
        <f>IFERROR(__xludf.DUMMYFUNCTION("""COMPUTED_VALUE"""),4566.0)</f>
        <v>4566</v>
      </c>
      <c r="D19" s="12">
        <f>IFERROR(__xludf.DUMMYFUNCTION("""COMPUTED_VALUE"""),2358.0)</f>
        <v>2358</v>
      </c>
      <c r="E19" s="12">
        <f>IFERROR(__xludf.DUMMYFUNCTION("""COMPUTED_VALUE"""),155.0)</f>
        <v>155</v>
      </c>
      <c r="F19" s="12">
        <f>IFERROR(__xludf.DUMMYFUNCTION("""COMPUTED_VALUE"""),2.0)</f>
        <v>2</v>
      </c>
      <c r="G19" s="12">
        <f>IFERROR(__xludf.DUMMYFUNCTION("""COMPUTED_VALUE"""),1.0)</f>
        <v>1</v>
      </c>
      <c r="H19" s="12">
        <f>IFERROR(__xludf.DUMMYFUNCTION("""COMPUTED_VALUE"""),506358.0)</f>
        <v>506358</v>
      </c>
      <c r="I19" s="12">
        <f>IFERROR(__xludf.DUMMYFUNCTION("""COMPUTED_VALUE"""),100.0)</f>
        <v>100</v>
      </c>
      <c r="J19" s="12">
        <f>IFERROR(__xludf.DUMMYFUNCTION("""COMPUTED_VALUE"""),7361.0)</f>
        <v>7361</v>
      </c>
      <c r="K19" s="12">
        <f>IFERROR(__xludf.DUMMYFUNCTION("""COMPUTED_VALUE"""),1466002.0380000002)</f>
        <v>1466002.038</v>
      </c>
    </row>
    <row r="20">
      <c r="A20" s="14">
        <f>IFERROR(__xludf.DUMMYFUNCTION("""COMPUTED_VALUE"""),46177.069847418985)</f>
        <v>46177.06985</v>
      </c>
      <c r="B20" s="12">
        <f>IFERROR(__xludf.DUMMYFUNCTION("""COMPUTED_VALUE"""),20.0)</f>
        <v>20</v>
      </c>
      <c r="C20" s="12">
        <f>IFERROR(__xludf.DUMMYFUNCTION("""COMPUTED_VALUE"""),2135.0)</f>
        <v>2135</v>
      </c>
      <c r="D20" s="12">
        <f>IFERROR(__xludf.DUMMYFUNCTION("""COMPUTED_VALUE"""),2031.0)</f>
        <v>2031</v>
      </c>
      <c r="E20" s="12">
        <f>IFERROR(__xludf.DUMMYFUNCTION("""COMPUTED_VALUE"""),61.0)</f>
        <v>61</v>
      </c>
      <c r="F20" s="12">
        <f>IFERROR(__xludf.DUMMYFUNCTION("""COMPUTED_VALUE"""),22.0)</f>
        <v>22</v>
      </c>
      <c r="G20" s="12">
        <f>IFERROR(__xludf.DUMMYFUNCTION("""COMPUTED_VALUE"""),1.0)</f>
        <v>1</v>
      </c>
      <c r="H20" s="12">
        <f>IFERROR(__xludf.DUMMYFUNCTION("""COMPUTED_VALUE"""),1384180.0)</f>
        <v>1384180</v>
      </c>
      <c r="I20" s="12">
        <f>IFERROR(__xludf.DUMMYFUNCTION("""COMPUTED_VALUE"""),100.0)</f>
        <v>100</v>
      </c>
      <c r="J20" s="12">
        <f>IFERROR(__xludf.DUMMYFUNCTION("""COMPUTED_VALUE"""),4529.0)</f>
        <v>4529</v>
      </c>
      <c r="K20" s="12">
        <f>IFERROR(__xludf.DUMMYFUNCTION("""COMPUTED_VALUE"""),4877642.42)</f>
        <v>4877642.42</v>
      </c>
    </row>
    <row r="21">
      <c r="A21" s="14">
        <f>IFERROR(__xludf.DUMMYFUNCTION("""COMPUTED_VALUE"""),46177.656442060186)</f>
        <v>46177.65644</v>
      </c>
      <c r="B21" s="12">
        <f>IFERROR(__xludf.DUMMYFUNCTION("""COMPUTED_VALUE"""),21.0)</f>
        <v>21</v>
      </c>
      <c r="C21" s="12">
        <f>IFERROR(__xludf.DUMMYFUNCTION("""COMPUTED_VALUE"""),1873.0)</f>
        <v>1873</v>
      </c>
      <c r="D21" s="12">
        <f>IFERROR(__xludf.DUMMYFUNCTION("""COMPUTED_VALUE"""),1822.0)</f>
        <v>1822</v>
      </c>
      <c r="E21" s="12">
        <f>IFERROR(__xludf.DUMMYFUNCTION("""COMPUTED_VALUE"""),259.0)</f>
        <v>259</v>
      </c>
      <c r="F21" s="12">
        <f>IFERROR(__xludf.DUMMYFUNCTION("""COMPUTED_VALUE"""),0.0)</f>
        <v>0</v>
      </c>
      <c r="G21" s="12">
        <f>IFERROR(__xludf.DUMMYFUNCTION("""COMPUTED_VALUE"""),0.0)</f>
        <v>0</v>
      </c>
      <c r="H21" s="12">
        <f>IFERROR(__xludf.DUMMYFUNCTION("""COMPUTED_VALUE"""),2215212.795)</f>
        <v>2215212.795</v>
      </c>
      <c r="I21" s="12">
        <f>IFERROR(__xludf.DUMMYFUNCTION("""COMPUTED_VALUE"""),71.0)</f>
        <v>71</v>
      </c>
      <c r="J21" s="12">
        <f>IFERROR(__xludf.DUMMYFUNCTION("""COMPUTED_VALUE"""),3954.0)</f>
        <v>3954</v>
      </c>
      <c r="K21" s="12">
        <f>IFERROR(__xludf.DUMMYFUNCTION("""COMPUTED_VALUE"""),7048150.264669437)</f>
        <v>7048150.265</v>
      </c>
    </row>
    <row r="22">
      <c r="A22" s="14">
        <f>IFERROR(__xludf.DUMMYFUNCTION("""COMPUTED_VALUE"""),46177.73138614584)</f>
        <v>46177.73139</v>
      </c>
      <c r="B22" s="12">
        <f>IFERROR(__xludf.DUMMYFUNCTION("""COMPUTED_VALUE"""),22.0)</f>
        <v>22</v>
      </c>
      <c r="C22" s="12">
        <f>IFERROR(__xludf.DUMMYFUNCTION("""COMPUTED_VALUE"""),1872.0)</f>
        <v>1872</v>
      </c>
      <c r="D22" s="12">
        <f>IFERROR(__xludf.DUMMYFUNCTION("""COMPUTED_VALUE"""),1735.0)</f>
        <v>1735</v>
      </c>
      <c r="E22" s="12">
        <f>IFERROR(__xludf.DUMMYFUNCTION("""COMPUTED_VALUE"""),262.0)</f>
        <v>262</v>
      </c>
      <c r="F22" s="12">
        <f>IFERROR(__xludf.DUMMYFUNCTION("""COMPUTED_VALUE"""),4.0)</f>
        <v>4</v>
      </c>
      <c r="G22" s="12">
        <f>IFERROR(__xludf.DUMMYFUNCTION("""COMPUTED_VALUE"""),1.0)</f>
        <v>1</v>
      </c>
      <c r="H22" s="12">
        <f>IFERROR(__xludf.DUMMYFUNCTION("""COMPUTED_VALUE"""),1257000.0)</f>
        <v>1257000</v>
      </c>
      <c r="I22" s="12">
        <f>IFERROR(__xludf.DUMMYFUNCTION("""COMPUTED_VALUE"""),100.0)</f>
        <v>100</v>
      </c>
      <c r="J22" s="12">
        <f>IFERROR(__xludf.DUMMYFUNCTION("""COMPUTED_VALUE"""),4153.0)</f>
        <v>4153</v>
      </c>
      <c r="K22" s="12">
        <f>IFERROR(__xludf.DUMMYFUNCTION("""COMPUTED_VALUE"""),3944519.4)</f>
        <v>3944519.4</v>
      </c>
    </row>
    <row r="23">
      <c r="A23" s="14">
        <f>IFERROR(__xludf.DUMMYFUNCTION("""COMPUTED_VALUE"""),46177.42047936343)</f>
        <v>46177.42048</v>
      </c>
      <c r="B23" s="12">
        <f>IFERROR(__xludf.DUMMYFUNCTION("""COMPUTED_VALUE"""),23.0)</f>
        <v>23</v>
      </c>
      <c r="C23" s="12">
        <f>IFERROR(__xludf.DUMMYFUNCTION("""COMPUTED_VALUE"""),1833.0)</f>
        <v>1833</v>
      </c>
      <c r="D23" s="12">
        <f>IFERROR(__xludf.DUMMYFUNCTION("""COMPUTED_VALUE"""),1787.0)</f>
        <v>1787</v>
      </c>
      <c r="E23" s="12">
        <f>IFERROR(__xludf.DUMMYFUNCTION("""COMPUTED_VALUE"""),280.0)</f>
        <v>280</v>
      </c>
      <c r="F23" s="12">
        <f>IFERROR(__xludf.DUMMYFUNCTION("""COMPUTED_VALUE"""),10.0)</f>
        <v>10</v>
      </c>
      <c r="G23" s="12">
        <f>IFERROR(__xludf.DUMMYFUNCTION("""COMPUTED_VALUE"""),1.0)</f>
        <v>1</v>
      </c>
      <c r="H23" s="12">
        <f>IFERROR(__xludf.DUMMYFUNCTION("""COMPUTED_VALUE"""),5214839.697)</f>
        <v>5214839.697</v>
      </c>
      <c r="I23" s="12">
        <f>IFERROR(__xludf.DUMMYFUNCTION("""COMPUTED_VALUE"""),50.0)</f>
        <v>50</v>
      </c>
      <c r="J23" s="12">
        <f>IFERROR(__xludf.DUMMYFUNCTION("""COMPUTED_VALUE"""),4190.0)</f>
        <v>4190</v>
      </c>
      <c r="K23" s="12">
        <f>IFERROR(__xludf.DUMMYFUNCTION("""COMPUTED_VALUE"""),1.9275842330429997E7)</f>
        <v>19275842.33</v>
      </c>
    </row>
    <row r="24">
      <c r="A24" s="14">
        <f>IFERROR(__xludf.DUMMYFUNCTION("""COMPUTED_VALUE"""),46177.6305028125)</f>
        <v>46177.6305</v>
      </c>
      <c r="B24" s="12">
        <f>IFERROR(__xludf.DUMMYFUNCTION("""COMPUTED_VALUE"""),24.0)</f>
        <v>24</v>
      </c>
      <c r="C24" s="12">
        <f>IFERROR(__xludf.DUMMYFUNCTION("""COMPUTED_VALUE"""),3555.0)</f>
        <v>3555</v>
      </c>
      <c r="D24" s="12">
        <f>IFERROR(__xludf.DUMMYFUNCTION("""COMPUTED_VALUE"""),2828.0)</f>
        <v>2828</v>
      </c>
      <c r="E24" s="12">
        <f>IFERROR(__xludf.DUMMYFUNCTION("""COMPUTED_VALUE"""),535.0)</f>
        <v>535</v>
      </c>
      <c r="F24" s="12">
        <f>IFERROR(__xludf.DUMMYFUNCTION("""COMPUTED_VALUE"""),2.0)</f>
        <v>2</v>
      </c>
      <c r="G24" s="12">
        <f>IFERROR(__xludf.DUMMYFUNCTION("""COMPUTED_VALUE"""),1.0)</f>
        <v>1</v>
      </c>
      <c r="H24" s="12">
        <f>IFERROR(__xludf.DUMMYFUNCTION("""COMPUTED_VALUE"""),562022.379)</f>
        <v>562022.379</v>
      </c>
      <c r="I24" s="12">
        <f>IFERROR(__xludf.DUMMYFUNCTION("""COMPUTED_VALUE"""),100.0)</f>
        <v>100</v>
      </c>
      <c r="J24" s="12">
        <f>IFERROR(__xludf.DUMMYFUNCTION("""COMPUTED_VALUE"""),7200.0)</f>
        <v>7200</v>
      </c>
      <c r="K24" s="12">
        <f>IFERROR(__xludf.DUMMYFUNCTION("""COMPUTED_VALUE"""),1834721.1288)</f>
        <v>1834721.129</v>
      </c>
    </row>
    <row r="25">
      <c r="A25" s="14">
        <f>IFERROR(__xludf.DUMMYFUNCTION("""COMPUTED_VALUE"""),46177.66776010417)</f>
        <v>46177.66776</v>
      </c>
      <c r="B25" s="12">
        <f>IFERROR(__xludf.DUMMYFUNCTION("""COMPUTED_VALUE"""),25.0)</f>
        <v>25</v>
      </c>
      <c r="C25" s="12">
        <f>IFERROR(__xludf.DUMMYFUNCTION("""COMPUTED_VALUE"""),1704.0)</f>
        <v>1704</v>
      </c>
      <c r="D25" s="12">
        <f>IFERROR(__xludf.DUMMYFUNCTION("""COMPUTED_VALUE"""),1762.0)</f>
        <v>1762</v>
      </c>
      <c r="E25" s="12">
        <f>IFERROR(__xludf.DUMMYFUNCTION("""COMPUTED_VALUE"""),264.0)</f>
        <v>264</v>
      </c>
      <c r="F25" s="12">
        <f>IFERROR(__xludf.DUMMYFUNCTION("""COMPUTED_VALUE"""),2.0)</f>
        <v>2</v>
      </c>
      <c r="G25" s="12">
        <f>IFERROR(__xludf.DUMMYFUNCTION("""COMPUTED_VALUE"""),3.0)</f>
        <v>3</v>
      </c>
      <c r="H25" s="12">
        <f>IFERROR(__xludf.DUMMYFUNCTION("""COMPUTED_VALUE"""),4915000.0)</f>
        <v>4915000</v>
      </c>
      <c r="I25" s="12">
        <f>IFERROR(__xludf.DUMMYFUNCTION("""COMPUTED_VALUE"""),50.0)</f>
        <v>50</v>
      </c>
      <c r="J25" s="12">
        <f>IFERROR(__xludf.DUMMYFUNCTION("""COMPUTED_VALUE"""),4572.0)</f>
        <v>4572</v>
      </c>
      <c r="K25" s="12">
        <f>IFERROR(__xludf.DUMMYFUNCTION("""COMPUTED_VALUE"""),1.9662343200000003E7)</f>
        <v>19662343.2</v>
      </c>
    </row>
    <row r="26">
      <c r="A26" s="14">
        <f>IFERROR(__xludf.DUMMYFUNCTION("""COMPUTED_VALUE"""),46177.55231403935)</f>
        <v>46177.55231</v>
      </c>
      <c r="B26" s="12">
        <f>IFERROR(__xludf.DUMMYFUNCTION("""COMPUTED_VALUE"""),26.0)</f>
        <v>26</v>
      </c>
      <c r="C26" s="12">
        <f>IFERROR(__xludf.DUMMYFUNCTION("""COMPUTED_VALUE"""),2192.0)</f>
        <v>2192</v>
      </c>
      <c r="D26" s="12">
        <f>IFERROR(__xludf.DUMMYFUNCTION("""COMPUTED_VALUE"""),1874.0)</f>
        <v>1874</v>
      </c>
      <c r="E26" s="12">
        <f>IFERROR(__xludf.DUMMYFUNCTION("""COMPUTED_VALUE"""),240.0)</f>
        <v>240</v>
      </c>
      <c r="F26" s="12">
        <f>IFERROR(__xludf.DUMMYFUNCTION("""COMPUTED_VALUE"""),10.0)</f>
        <v>10</v>
      </c>
      <c r="G26" s="12">
        <f>IFERROR(__xludf.DUMMYFUNCTION("""COMPUTED_VALUE"""),1.0)</f>
        <v>1</v>
      </c>
      <c r="H26" s="12">
        <f>IFERROR(__xludf.DUMMYFUNCTION("""COMPUTED_VALUE"""),1321783.874)</f>
        <v>1321783.874</v>
      </c>
      <c r="I26" s="12">
        <f>IFERROR(__xludf.DUMMYFUNCTION("""COMPUTED_VALUE"""),100.0)</f>
        <v>100</v>
      </c>
      <c r="J26" s="12">
        <f>IFERROR(__xludf.DUMMYFUNCTION("""COMPUTED_VALUE"""),4596.0)</f>
        <v>4596</v>
      </c>
      <c r="K26" s="12">
        <f>IFERROR(__xludf.DUMMYFUNCTION("""COMPUTED_VALUE"""),4663027.484904)</f>
        <v>4663027.485</v>
      </c>
    </row>
    <row r="27">
      <c r="A27" s="14">
        <f>IFERROR(__xludf.DUMMYFUNCTION("""COMPUTED_VALUE"""),46177.578979375)</f>
        <v>46177.57898</v>
      </c>
      <c r="B27" s="12">
        <f>IFERROR(__xludf.DUMMYFUNCTION("""COMPUTED_VALUE"""),28.0)</f>
        <v>28</v>
      </c>
      <c r="C27" s="12">
        <f>IFERROR(__xludf.DUMMYFUNCTION("""COMPUTED_VALUE"""),2391.0)</f>
        <v>2391</v>
      </c>
      <c r="D27" s="12">
        <f>IFERROR(__xludf.DUMMYFUNCTION("""COMPUTED_VALUE"""),960.0)</f>
        <v>960</v>
      </c>
      <c r="E27" s="12">
        <f>IFERROR(__xludf.DUMMYFUNCTION("""COMPUTED_VALUE"""),7.0)</f>
        <v>7</v>
      </c>
      <c r="F27" s="12">
        <f>IFERROR(__xludf.DUMMYFUNCTION("""COMPUTED_VALUE"""),2.0)</f>
        <v>2</v>
      </c>
      <c r="G27" s="12">
        <f>IFERROR(__xludf.DUMMYFUNCTION("""COMPUTED_VALUE"""),1.0)</f>
        <v>1</v>
      </c>
      <c r="H27" s="12">
        <f>IFERROR(__xludf.DUMMYFUNCTION("""COMPUTED_VALUE"""),5042300.0)</f>
        <v>5042300</v>
      </c>
      <c r="I27" s="12">
        <f>IFERROR(__xludf.DUMMYFUNCTION("""COMPUTED_VALUE"""),50.0)</f>
        <v>50</v>
      </c>
      <c r="J27" s="12">
        <f>IFERROR(__xludf.DUMMYFUNCTION("""COMPUTED_VALUE"""),3640.0)</f>
        <v>3640</v>
      </c>
      <c r="K27" s="12">
        <f>IFERROR(__xludf.DUMMYFUNCTION("""COMPUTED_VALUE"""),1.6117556000000002E7)</f>
        <v>16117556</v>
      </c>
    </row>
  </sheetData>
  <drawing r:id="rId1"/>
  <tableParts count="1">
    <tablePart r:id="rId3"/>
  </tableParts>
</worksheet>
</file>